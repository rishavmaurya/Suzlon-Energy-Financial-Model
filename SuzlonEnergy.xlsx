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a\Documents\MBA\Projects\Financial Models\Suzlon\"/>
    </mc:Choice>
  </mc:AlternateContent>
  <xr:revisionPtr revIDLastSave="0" documentId="13_ncr:1_{3A9FA2F2-E7F8-432B-B9C6-4BF72871FD60}" xr6:coauthVersionLast="47" xr6:coauthVersionMax="47" xr10:uidLastSave="{00000000-0000-0000-0000-000000000000}"/>
  <bookViews>
    <workbookView xWindow="-98" yWindow="-98" windowWidth="21795" windowHeight="13695" activeTab="2" xr2:uid="{2493743E-8050-433D-8A4F-1152DFACA833}"/>
  </bookViews>
  <sheets>
    <sheet name="Income Statement" sheetId="1" r:id="rId1"/>
    <sheet name="Balance Sheet" sheetId="2" r:id="rId2"/>
    <sheet name="Depreciation and Capex" sheetId="3" r:id="rId3"/>
    <sheet name="Working Capi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4" l="1"/>
  <c r="H7" i="4" s="1"/>
  <c r="I15" i="4"/>
  <c r="I7" i="4" s="1"/>
  <c r="J15" i="4"/>
  <c r="J7" i="4" s="1"/>
  <c r="H14" i="4"/>
  <c r="H6" i="4" s="1"/>
  <c r="I14" i="4"/>
  <c r="I6" i="4" s="1"/>
  <c r="J14" i="4"/>
  <c r="J6" i="4" s="1"/>
  <c r="H13" i="4"/>
  <c r="H5" i="4" s="1"/>
  <c r="I13" i="4"/>
  <c r="I5" i="4" s="1"/>
  <c r="J13" i="4"/>
  <c r="J5" i="4" s="1"/>
  <c r="G15" i="4"/>
  <c r="G7" i="4" s="1"/>
  <c r="G14" i="4"/>
  <c r="G6" i="4" s="1"/>
  <c r="G13" i="4"/>
  <c r="G5" i="4" s="1"/>
  <c r="G20" i="4"/>
  <c r="H20" i="4"/>
  <c r="I20" i="4"/>
  <c r="J20" i="4"/>
  <c r="D19" i="4"/>
  <c r="E19" i="4"/>
  <c r="F19" i="4"/>
  <c r="D18" i="4"/>
  <c r="E18" i="4"/>
  <c r="F18" i="4"/>
  <c r="D17" i="4"/>
  <c r="D20" i="4" s="1"/>
  <c r="E17" i="4"/>
  <c r="E20" i="4" s="1"/>
  <c r="F17" i="4"/>
  <c r="F20" i="4" s="1"/>
  <c r="C19" i="4"/>
  <c r="C18" i="4"/>
  <c r="C17" i="4"/>
  <c r="D15" i="4"/>
  <c r="E15" i="4"/>
  <c r="F15" i="4"/>
  <c r="C15" i="4"/>
  <c r="D14" i="4"/>
  <c r="E14" i="4"/>
  <c r="F14" i="4"/>
  <c r="C14" i="4"/>
  <c r="D13" i="4"/>
  <c r="E13" i="4"/>
  <c r="F13" i="4"/>
  <c r="G10" i="4"/>
  <c r="H10" i="4"/>
  <c r="I10" i="4"/>
  <c r="J10" i="4"/>
  <c r="G9" i="4"/>
  <c r="H9" i="4"/>
  <c r="I9" i="4"/>
  <c r="J9" i="4"/>
  <c r="D10" i="4"/>
  <c r="E10" i="4"/>
  <c r="F10" i="4"/>
  <c r="D9" i="4"/>
  <c r="E9" i="4"/>
  <c r="F9" i="4"/>
  <c r="C10" i="4"/>
  <c r="C9" i="4"/>
  <c r="D7" i="4"/>
  <c r="E7" i="4"/>
  <c r="F7" i="4"/>
  <c r="C7" i="4"/>
  <c r="D6" i="4"/>
  <c r="E6" i="4"/>
  <c r="F6" i="4"/>
  <c r="C6" i="4"/>
  <c r="D5" i="4"/>
  <c r="E5" i="4"/>
  <c r="F5" i="4"/>
  <c r="C5" i="4"/>
  <c r="C13" i="4" s="1"/>
  <c r="C20" i="4"/>
  <c r="D2" i="4"/>
  <c r="E2" i="4" s="1"/>
  <c r="F2" i="4" s="1"/>
  <c r="G2" i="4" s="1"/>
  <c r="H2" i="4" s="1"/>
  <c r="I2" i="4" s="1"/>
  <c r="J2" i="4" s="1"/>
  <c r="H6" i="2"/>
  <c r="I6" i="2"/>
  <c r="J6" i="2"/>
  <c r="G6" i="2"/>
  <c r="H20" i="1"/>
  <c r="H21" i="1" s="1"/>
  <c r="H25" i="1" s="1"/>
  <c r="H28" i="1" s="1"/>
  <c r="I20" i="1"/>
  <c r="J20" i="1"/>
  <c r="G20" i="1"/>
  <c r="H12" i="3"/>
  <c r="G12" i="3"/>
  <c r="F12" i="3"/>
  <c r="H9" i="3"/>
  <c r="I9" i="3"/>
  <c r="I12" i="3" s="1"/>
  <c r="J9" i="3" s="1"/>
  <c r="J12" i="3" s="1"/>
  <c r="H11" i="3"/>
  <c r="I11" i="3"/>
  <c r="J11" i="3"/>
  <c r="G11" i="3"/>
  <c r="H10" i="3"/>
  <c r="I10" i="3"/>
  <c r="J10" i="3"/>
  <c r="H6" i="3"/>
  <c r="I6" i="3"/>
  <c r="J6" i="3"/>
  <c r="G6" i="3"/>
  <c r="D7" i="3"/>
  <c r="E7" i="3"/>
  <c r="F7" i="3"/>
  <c r="C7" i="3"/>
  <c r="G10" i="3"/>
  <c r="G9" i="3"/>
  <c r="D6" i="3"/>
  <c r="E6" i="3"/>
  <c r="F6" i="3"/>
  <c r="C6" i="3"/>
  <c r="D4" i="3"/>
  <c r="E4" i="3"/>
  <c r="F4" i="3"/>
  <c r="G4" i="3"/>
  <c r="H4" i="3"/>
  <c r="I4" i="3"/>
  <c r="J4" i="3"/>
  <c r="C4" i="3"/>
  <c r="D2" i="3"/>
  <c r="E2" i="3" s="1"/>
  <c r="F2" i="3" s="1"/>
  <c r="G2" i="3" s="1"/>
  <c r="H2" i="3" s="1"/>
  <c r="I2" i="3" s="1"/>
  <c r="J2" i="3" s="1"/>
  <c r="H23" i="1"/>
  <c r="I23" i="1"/>
  <c r="J23" i="1"/>
  <c r="G23" i="1"/>
  <c r="D47" i="1"/>
  <c r="E47" i="1"/>
  <c r="F47" i="1"/>
  <c r="C47" i="1"/>
  <c r="H22" i="1"/>
  <c r="I22" i="1" s="1"/>
  <c r="J22" i="1" s="1"/>
  <c r="G22" i="1"/>
  <c r="G21" i="1"/>
  <c r="G25" i="1" s="1"/>
  <c r="G28" i="1" s="1"/>
  <c r="I21" i="1"/>
  <c r="I25" i="1" s="1"/>
  <c r="I28" i="1" s="1"/>
  <c r="J21" i="1"/>
  <c r="J25" i="1" s="1"/>
  <c r="J28" i="1" s="1"/>
  <c r="E45" i="1"/>
  <c r="F45" i="1"/>
  <c r="D45" i="1"/>
  <c r="G19" i="1"/>
  <c r="H19" i="1"/>
  <c r="I19" i="1"/>
  <c r="J19" i="1"/>
  <c r="G18" i="1"/>
  <c r="H18" i="1"/>
  <c r="I18" i="1"/>
  <c r="J18" i="1"/>
  <c r="G17" i="1"/>
  <c r="H17" i="1"/>
  <c r="I17" i="1"/>
  <c r="J17" i="1"/>
  <c r="G15" i="1"/>
  <c r="H15" i="1"/>
  <c r="I15" i="1"/>
  <c r="J15" i="1"/>
  <c r="H14" i="1"/>
  <c r="I14" i="1"/>
  <c r="J14" i="1"/>
  <c r="G14" i="1"/>
  <c r="H13" i="1"/>
  <c r="I13" i="1"/>
  <c r="J13" i="1"/>
  <c r="G13" i="1"/>
  <c r="H12" i="1"/>
  <c r="I12" i="1"/>
  <c r="J12" i="1"/>
  <c r="G12" i="1"/>
  <c r="H11" i="1"/>
  <c r="I11" i="1"/>
  <c r="J11" i="1"/>
  <c r="G11" i="1"/>
  <c r="G10" i="1"/>
  <c r="H10" i="1"/>
  <c r="I10" i="1"/>
  <c r="J10" i="1"/>
  <c r="D42" i="1"/>
  <c r="E42" i="1"/>
  <c r="F42" i="1"/>
  <c r="C42" i="1"/>
  <c r="D41" i="1"/>
  <c r="E41" i="1"/>
  <c r="F41" i="1"/>
  <c r="C41" i="1"/>
  <c r="D40" i="1"/>
  <c r="E40" i="1"/>
  <c r="F40" i="1"/>
  <c r="C40" i="1"/>
  <c r="G6" i="1"/>
  <c r="H6" i="1"/>
  <c r="I6" i="1"/>
  <c r="J6" i="1"/>
  <c r="G5" i="1"/>
  <c r="E34" i="1"/>
  <c r="F34" i="1"/>
  <c r="E35" i="1"/>
  <c r="F35" i="1"/>
  <c r="D35" i="1"/>
  <c r="D34" i="1"/>
  <c r="E33" i="1"/>
  <c r="F33" i="1"/>
  <c r="D33" i="1"/>
  <c r="D72" i="2"/>
  <c r="E72" i="2"/>
  <c r="F72" i="2"/>
  <c r="C72" i="2"/>
  <c r="D70" i="2"/>
  <c r="E70" i="2"/>
  <c r="F70" i="2"/>
  <c r="C70" i="2"/>
  <c r="D67" i="2"/>
  <c r="E67" i="2"/>
  <c r="F67" i="2"/>
  <c r="C67" i="2"/>
  <c r="D66" i="2"/>
  <c r="E66" i="2"/>
  <c r="F66" i="2"/>
  <c r="D65" i="2"/>
  <c r="E65" i="2"/>
  <c r="F65" i="2"/>
  <c r="D60" i="2"/>
  <c r="E60" i="2"/>
  <c r="F60" i="2"/>
  <c r="C60" i="2"/>
  <c r="C58" i="2"/>
  <c r="D58" i="2"/>
  <c r="E58" i="2"/>
  <c r="F58" i="2"/>
  <c r="D46" i="2"/>
  <c r="E46" i="2"/>
  <c r="F46" i="2"/>
  <c r="C46" i="2"/>
  <c r="D38" i="2"/>
  <c r="E38" i="2"/>
  <c r="F38" i="2"/>
  <c r="C38" i="2"/>
  <c r="D33" i="2"/>
  <c r="E33" i="2"/>
  <c r="F33" i="2"/>
  <c r="C31" i="2"/>
  <c r="D31" i="2"/>
  <c r="E31" i="2"/>
  <c r="F31" i="2"/>
  <c r="C19" i="2"/>
  <c r="D19" i="2"/>
  <c r="E19" i="2"/>
  <c r="F19" i="2"/>
  <c r="D2" i="2"/>
  <c r="E2" i="2" s="1"/>
  <c r="F2" i="2" s="1"/>
  <c r="G2" i="2" s="1"/>
  <c r="H2" i="2" s="1"/>
  <c r="I2" i="2" s="1"/>
  <c r="J2" i="2" s="1"/>
  <c r="D7" i="1"/>
  <c r="E7" i="1"/>
  <c r="F7" i="1"/>
  <c r="C7" i="1"/>
  <c r="D18" i="1"/>
  <c r="E18" i="1"/>
  <c r="F18" i="1"/>
  <c r="C18" i="1"/>
  <c r="D15" i="1"/>
  <c r="E15" i="1"/>
  <c r="F15" i="1"/>
  <c r="C15" i="1"/>
  <c r="D2" i="1"/>
  <c r="E2" i="1" s="1"/>
  <c r="C66" i="2" l="1"/>
  <c r="C65" i="2"/>
  <c r="C33" i="2"/>
  <c r="G7" i="1"/>
  <c r="G35" i="1" s="1"/>
  <c r="H5" i="1"/>
  <c r="D17" i="1"/>
  <c r="D61" i="1" s="1"/>
  <c r="D39" i="1"/>
  <c r="E17" i="1"/>
  <c r="E61" i="1" s="1"/>
  <c r="E39" i="1"/>
  <c r="F17" i="1"/>
  <c r="F61" i="1" s="1"/>
  <c r="F39" i="1"/>
  <c r="C17" i="1"/>
  <c r="C39" i="1"/>
  <c r="F19" i="1"/>
  <c r="F2" i="1"/>
  <c r="G2" i="1" s="1"/>
  <c r="H2" i="1" s="1"/>
  <c r="I2" i="1" s="1"/>
  <c r="J2" i="1" s="1"/>
  <c r="C19" i="1"/>
  <c r="C21" i="1" s="1"/>
  <c r="C25" i="1" s="1"/>
  <c r="C61" i="1"/>
  <c r="H7" i="1" l="1"/>
  <c r="H35" i="1" s="1"/>
  <c r="I5" i="1"/>
  <c r="F21" i="1"/>
  <c r="F62" i="1"/>
  <c r="C64" i="1"/>
  <c r="C28" i="1"/>
  <c r="C65" i="1" s="1"/>
  <c r="D19" i="1"/>
  <c r="E19" i="1"/>
  <c r="C63" i="1"/>
  <c r="C62" i="1"/>
  <c r="I7" i="1" l="1"/>
  <c r="I35" i="1" s="1"/>
  <c r="J5" i="1"/>
  <c r="J7" i="1" s="1"/>
  <c r="J35" i="1" s="1"/>
  <c r="F25" i="1"/>
  <c r="F63" i="1"/>
  <c r="D21" i="1"/>
  <c r="D62" i="1"/>
  <c r="E21" i="1"/>
  <c r="E62" i="1"/>
  <c r="F64" i="1" l="1"/>
  <c r="F28" i="1"/>
  <c r="F65" i="1" s="1"/>
  <c r="D25" i="1"/>
  <c r="D63" i="1"/>
  <c r="E25" i="1"/>
  <c r="E63" i="1"/>
  <c r="D64" i="1" l="1"/>
  <c r="D28" i="1"/>
  <c r="D65" i="1" s="1"/>
  <c r="E64" i="1"/>
  <c r="E28" i="1"/>
  <c r="E65" i="1" s="1"/>
</calcChain>
</file>

<file path=xl/sharedStrings.xml><?xml version="1.0" encoding="utf-8"?>
<sst xmlns="http://schemas.openxmlformats.org/spreadsheetml/2006/main" count="137" uniqueCount="104">
  <si>
    <t>Suzlon Energy - Income Statement</t>
  </si>
  <si>
    <t>Historicals</t>
  </si>
  <si>
    <t>Forecasts</t>
  </si>
  <si>
    <t>Revenues</t>
  </si>
  <si>
    <t>Other Income</t>
  </si>
  <si>
    <t>Total Revenues</t>
  </si>
  <si>
    <t>Cost of Sales</t>
  </si>
  <si>
    <t>Total Operating Cost</t>
  </si>
  <si>
    <t>Gross Margin</t>
  </si>
  <si>
    <t>SG&amp;A Expense</t>
  </si>
  <si>
    <t>EBITDA</t>
  </si>
  <si>
    <t>EBIT</t>
  </si>
  <si>
    <t>EBITDA Margin</t>
  </si>
  <si>
    <t>EBIT Margin</t>
  </si>
  <si>
    <t>EBT Margin</t>
  </si>
  <si>
    <t>Net Income Margin</t>
  </si>
  <si>
    <t>EBT</t>
  </si>
  <si>
    <t>Revenue from operations</t>
  </si>
  <si>
    <t>Other operating income</t>
  </si>
  <si>
    <t xml:space="preserve">Year ended 31 March | ₹ crore | Audited		</t>
  </si>
  <si>
    <t>Consumption of raw materials, components consumed and services rendered</t>
  </si>
  <si>
    <t>Changes in inventories of finished goods, semi-finished goods and work-in-progress</t>
  </si>
  <si>
    <t>Employee benefits expense</t>
  </si>
  <si>
    <t>Other expenses</t>
  </si>
  <si>
    <t>Depreciation and Amortisation</t>
  </si>
  <si>
    <t>Finance Cost</t>
  </si>
  <si>
    <t>Exceptional items loss / gain</t>
  </si>
  <si>
    <t>Foreign exchange loss / gain</t>
  </si>
  <si>
    <t>Current tax</t>
  </si>
  <si>
    <t>Deferred tax</t>
  </si>
  <si>
    <t>Assets</t>
  </si>
  <si>
    <t>Current Assets</t>
  </si>
  <si>
    <t>Property, plant and equipment</t>
  </si>
  <si>
    <t>Right-of-use assets</t>
  </si>
  <si>
    <t>Capital work-in-progress</t>
  </si>
  <si>
    <t>Investment properties</t>
  </si>
  <si>
    <t>Goodwill</t>
  </si>
  <si>
    <t>Intangible assets</t>
  </si>
  <si>
    <t>Intangible assets under development</t>
  </si>
  <si>
    <t>Financial assets — Investments</t>
  </si>
  <si>
    <t>Financial assets — Trade receivables</t>
  </si>
  <si>
    <t>Financial assets — Loans</t>
  </si>
  <si>
    <t>Financial assets — Other financial assets</t>
  </si>
  <si>
    <t>Deferred tax assets</t>
  </si>
  <si>
    <t>Other non-current assets</t>
  </si>
  <si>
    <t>Total Current Assets</t>
  </si>
  <si>
    <t>Non Current Assets</t>
  </si>
  <si>
    <t>Total Non Current Assets</t>
  </si>
  <si>
    <t>Inventories</t>
  </si>
  <si>
    <t>Cash and cash equivalents</t>
  </si>
  <si>
    <t>Bank balances other than cash and cash equivalents</t>
  </si>
  <si>
    <t>Current tax asset, net</t>
  </si>
  <si>
    <t>Other current assets</t>
  </si>
  <si>
    <t>Total Assets</t>
  </si>
  <si>
    <t>Equity and liabilities</t>
  </si>
  <si>
    <t>Share capital</t>
  </si>
  <si>
    <t>Other equity</t>
  </si>
  <si>
    <t>Total Equity</t>
  </si>
  <si>
    <t>Financial liabilities — Borrowings</t>
  </si>
  <si>
    <t>Financial liabilities — Lease liabilities</t>
  </si>
  <si>
    <t>Other financial liabilities</t>
  </si>
  <si>
    <t>Provisions</t>
  </si>
  <si>
    <t>Other non-current liabilities</t>
  </si>
  <si>
    <t>Non Current Liabilities</t>
  </si>
  <si>
    <t>Total non-current liabilities</t>
  </si>
  <si>
    <t>Current Liabilites</t>
  </si>
  <si>
    <t>Trade payables — dues to micro and small enterprises</t>
  </si>
  <si>
    <t>Trade payables — dues to other creditors</t>
  </si>
  <si>
    <t>Contract liabilities</t>
  </si>
  <si>
    <t>Other current liabilities</t>
  </si>
  <si>
    <t>Current tax liabilities, net</t>
  </si>
  <si>
    <t>Total Current Liabilities</t>
  </si>
  <si>
    <t>Total Equity and Liabilities</t>
  </si>
  <si>
    <t>Liquidity Ratio</t>
  </si>
  <si>
    <t>Current Ratio</t>
  </si>
  <si>
    <t>Quick Ratio</t>
  </si>
  <si>
    <t>Cash Ratio</t>
  </si>
  <si>
    <t>Leverage Ratio</t>
  </si>
  <si>
    <t>Debt to Equity Ratio (Borrowings + Lease Liabilities / Equity)</t>
  </si>
  <si>
    <t>ROE</t>
  </si>
  <si>
    <t>Net Income</t>
  </si>
  <si>
    <t>Drivers</t>
  </si>
  <si>
    <t>Net Material Cost</t>
  </si>
  <si>
    <t>Suzlon Energy - Depreciation and Capex</t>
  </si>
  <si>
    <t xml:space="preserve">Year ended 31 March | ₹ crore	</t>
  </si>
  <si>
    <t>Revenue</t>
  </si>
  <si>
    <t>Depreciation and Amortisation % of Revenue</t>
  </si>
  <si>
    <t>Beginning PP&amp;E</t>
  </si>
  <si>
    <t>Capital Expenditure</t>
  </si>
  <si>
    <t>Net PPE</t>
  </si>
  <si>
    <t>Suzlon Energy - Working Capital</t>
  </si>
  <si>
    <t>Working Capital Balances</t>
  </si>
  <si>
    <t>Trade receivables</t>
  </si>
  <si>
    <t>Trade payables</t>
  </si>
  <si>
    <t>Operating Costs</t>
  </si>
  <si>
    <t>Turnover Ratios</t>
  </si>
  <si>
    <t>Receivables turnover</t>
  </si>
  <si>
    <t>Inventories turnover</t>
  </si>
  <si>
    <t>Payable turnover</t>
  </si>
  <si>
    <t>Receivables collection period</t>
  </si>
  <si>
    <t>Inventory processing period</t>
  </si>
  <si>
    <t>Payment period</t>
  </si>
  <si>
    <t>Cash collection cycle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</si>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</sst>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8"/>
      <color theme="0"/>
      <name val="Calibri"/>
      <family val="2"/>
    </font>
    <font>
      <u/>
      <sz val="11"/>
      <color theme="0"/>
      <name val="Calibri"/>
      <family val="2"/>
    </font>
    <font>
      <b/>
      <sz val="11"/>
      <color theme="4" tint="0.39997558519241921"/>
      <name val="Calibri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70C0"/>
      <name val="Calibri"/>
      <family val="2"/>
    </font>
    <font>
      <b/>
      <sz val="11"/>
      <color rgb="FF00B0F0"/>
      <name val="Calibri"/>
      <family val="2"/>
    </font>
    <font>
      <sz val="11"/>
      <color rgb="FF00B05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thick">
        <color theme="1"/>
      </top>
      <bottom/>
      <diagonal/>
    </border>
    <border>
      <left/>
      <right/>
      <top style="thick">
        <color theme="1"/>
      </top>
      <bottom style="double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17" fontId="4" fillId="5" borderId="0" xfId="0" applyNumberFormat="1" applyFont="1" applyFill="1" applyAlignment="1">
      <alignment horizontal="center"/>
    </xf>
    <xf numFmtId="17" fontId="6" fillId="5" borderId="0" xfId="0" applyNumberFormat="1" applyFont="1" applyFill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2" xfId="0" applyFont="1" applyBorder="1"/>
    <xf numFmtId="0" fontId="10" fillId="0" borderId="0" xfId="2" applyFont="1"/>
    <xf numFmtId="0" fontId="11" fillId="0" borderId="0" xfId="0" applyFont="1"/>
    <xf numFmtId="10" fontId="0" fillId="0" borderId="0" xfId="0" applyNumberFormat="1"/>
    <xf numFmtId="9" fontId="0" fillId="0" borderId="0" xfId="1" applyFont="1"/>
    <xf numFmtId="0" fontId="4" fillId="5" borderId="0" xfId="0" applyFont="1" applyFill="1"/>
    <xf numFmtId="0" fontId="5" fillId="5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/>
    </xf>
    <xf numFmtId="4" fontId="10" fillId="0" borderId="0" xfId="2" applyNumberFormat="1" applyFont="1"/>
    <xf numFmtId="4" fontId="3" fillId="0" borderId="2" xfId="0" applyNumberFormat="1" applyFont="1" applyBorder="1"/>
    <xf numFmtId="4" fontId="11" fillId="0" borderId="0" xfId="0" applyNumberFormat="1" applyFont="1"/>
    <xf numFmtId="0" fontId="12" fillId="0" borderId="0" xfId="0" applyFont="1"/>
    <xf numFmtId="4" fontId="3" fillId="0" borderId="0" xfId="0" applyNumberFormat="1" applyFont="1"/>
    <xf numFmtId="0" fontId="3" fillId="0" borderId="0" xfId="0" applyFont="1" applyBorder="1"/>
    <xf numFmtId="4" fontId="3" fillId="0" borderId="0" xfId="0" applyNumberFormat="1" applyFont="1" applyBorder="1"/>
    <xf numFmtId="0" fontId="3" fillId="6" borderId="3" xfId="0" applyFont="1" applyFill="1" applyBorder="1"/>
    <xf numFmtId="43" fontId="0" fillId="0" borderId="0" xfId="8" applyFont="1"/>
    <xf numFmtId="0" fontId="4" fillId="7" borderId="0" xfId="0" applyFont="1" applyFill="1"/>
    <xf numFmtId="0" fontId="2" fillId="5" borderId="0" xfId="0" applyFont="1" applyFill="1"/>
    <xf numFmtId="0" fontId="0" fillId="0" borderId="0" xfId="0" applyAlignment="1">
      <alignment horizontal="left" indent="1"/>
    </xf>
    <xf numFmtId="9" fontId="11" fillId="0" borderId="0" xfId="0" applyNumberFormat="1" applyFont="1"/>
    <xf numFmtId="10" fontId="0" fillId="0" borderId="0" xfId="1" applyNumberFormat="1" applyFont="1"/>
    <xf numFmtId="10" fontId="11" fillId="0" borderId="0" xfId="0" applyNumberFormat="1" applyFont="1"/>
    <xf numFmtId="2" fontId="0" fillId="0" borderId="0" xfId="0" applyNumberFormat="1"/>
    <xf numFmtId="2" fontId="3" fillId="0" borderId="0" xfId="0" applyNumberFormat="1" applyFont="1"/>
    <xf numFmtId="2" fontId="3" fillId="0" borderId="2" xfId="0" applyNumberFormat="1" applyFont="1" applyBorder="1"/>
    <xf numFmtId="0" fontId="10" fillId="0" borderId="0" xfId="2" applyFont="1" applyFill="1"/>
    <xf numFmtId="2" fontId="11" fillId="0" borderId="0" xfId="0" applyNumberFormat="1" applyFont="1"/>
    <xf numFmtId="4" fontId="13" fillId="0" borderId="0" xfId="0" applyNumberFormat="1" applyFont="1"/>
    <xf numFmtId="0" fontId="13" fillId="0" borderId="0" xfId="0" applyFont="1"/>
    <xf numFmtId="2" fontId="3" fillId="6" borderId="3" xfId="0" applyNumberFormat="1" applyFont="1" applyFill="1" applyBorder="1"/>
    <xf numFmtId="2" fontId="13" fillId="0" borderId="0" xfId="0" applyNumberFormat="1" applyFont="1"/>
  </cellXfs>
  <cellStyles count="9">
    <cellStyle name="60% - Accent1 2" xfId="4" xr:uid="{990D87A8-24A1-4FF7-86C0-02067B7C3D8F}"/>
    <cellStyle name="60% - Accent3 2" xfId="5" xr:uid="{D1B1B5B7-2D5D-412A-9671-71CFC8F6FC56}"/>
    <cellStyle name="Accent6 2" xfId="6" xr:uid="{E1CF979C-CA5C-4573-879B-D1AE9773351D}"/>
    <cellStyle name="Comma" xfId="8" builtinId="3"/>
    <cellStyle name="Comma 2" xfId="3" xr:uid="{B0D16A02-6B1F-45E9-A17F-A55FA98FFBD7}"/>
    <cellStyle name="Normal" xfId="0" builtinId="0"/>
    <cellStyle name="Normal 2" xfId="2" xr:uid="{94231653-CC01-4D2E-8C7F-FF251E711E5F}"/>
    <cellStyle name="Percent" xfId="1" builtinId="5"/>
    <cellStyle name="Percent 2" xfId="7" xr:uid="{C6D066E1-E607-492A-BD3E-991976832D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9CB3-29F2-497B-8E94-9058C9C45CC9}">
  <dimension ref="A1:J65"/>
  <sheetViews>
    <sheetView workbookViewId="0">
      <selection activeCell="E26" sqref="E26"/>
    </sheetView>
  </sheetViews>
  <sheetFormatPr defaultRowHeight="14.25" x14ac:dyDescent="0.45"/>
  <cols>
    <col min="1" max="1" width="5.19921875" customWidth="1"/>
    <col min="2" max="2" width="48.59765625" customWidth="1"/>
    <col min="3" max="10" width="12.59765625" customWidth="1"/>
  </cols>
  <sheetData>
    <row r="1" spans="1:10" ht="28.6" customHeight="1" thickBot="1" x14ac:dyDescent="0.5">
      <c r="A1" s="11" t="s">
        <v>0</v>
      </c>
      <c r="B1" s="11"/>
      <c r="C1" s="12" t="s">
        <v>1</v>
      </c>
      <c r="D1" s="12"/>
      <c r="E1" s="12"/>
      <c r="F1" s="12" t="s">
        <v>2</v>
      </c>
      <c r="G1" s="12"/>
      <c r="H1" s="12"/>
      <c r="I1" s="12"/>
      <c r="J1" s="12"/>
    </row>
    <row r="2" spans="1:10" x14ac:dyDescent="0.45">
      <c r="A2" s="10" t="s">
        <v>19</v>
      </c>
      <c r="B2" s="10"/>
      <c r="C2" s="2">
        <v>45016</v>
      </c>
      <c r="D2" s="2">
        <f t="shared" ref="D2:J2" si="0">DATE(YEAR(C2)+1,MONTH(C2),DAY(C2))</f>
        <v>45382</v>
      </c>
      <c r="E2" s="2">
        <f t="shared" si="0"/>
        <v>45747</v>
      </c>
      <c r="F2" s="2">
        <f>DATE(YEAR(E2)+1,MONTH(E2),DAY(E2))</f>
        <v>46112</v>
      </c>
      <c r="G2" s="1">
        <f t="shared" si="0"/>
        <v>46477</v>
      </c>
      <c r="H2" s="1">
        <f t="shared" si="0"/>
        <v>46843</v>
      </c>
      <c r="I2" s="1">
        <f t="shared" si="0"/>
        <v>47208</v>
      </c>
      <c r="J2" s="1">
        <f t="shared" si="0"/>
        <v>47573</v>
      </c>
    </row>
    <row r="4" spans="1:10" x14ac:dyDescent="0.45">
      <c r="B4" s="4" t="s">
        <v>3</v>
      </c>
    </row>
    <row r="5" spans="1:10" x14ac:dyDescent="0.45">
      <c r="B5" s="24" t="s">
        <v>17</v>
      </c>
      <c r="C5" s="13">
        <v>3538.14</v>
      </c>
      <c r="D5" s="13">
        <v>5834.35</v>
      </c>
      <c r="E5" s="13">
        <v>10161.6</v>
      </c>
      <c r="F5" s="13">
        <v>15053.58</v>
      </c>
      <c r="G5" s="21">
        <f>(F5)*(1+G$33)</f>
        <v>18365.367599999998</v>
      </c>
      <c r="H5" s="21">
        <f t="shared" ref="H5:J5" si="1">(G5)*(1+H$33)</f>
        <v>21671.133767999996</v>
      </c>
      <c r="I5" s="21">
        <f t="shared" si="1"/>
        <v>24705.092495519999</v>
      </c>
      <c r="J5" s="21">
        <f t="shared" si="1"/>
        <v>27175.601745072003</v>
      </c>
    </row>
    <row r="6" spans="1:10" ht="14.65" thickBot="1" x14ac:dyDescent="0.5">
      <c r="B6" s="24" t="s">
        <v>18</v>
      </c>
      <c r="C6" s="7">
        <v>52.3</v>
      </c>
      <c r="D6" s="7">
        <v>29.81</v>
      </c>
      <c r="E6" s="7">
        <v>36.119999999999997</v>
      </c>
      <c r="F6" s="7">
        <v>37.950000000000003</v>
      </c>
      <c r="G6" s="21">
        <f>(F6)*(1+G34)</f>
        <v>39.847500000000004</v>
      </c>
      <c r="H6" s="21">
        <f t="shared" ref="H6:J6" si="2">(G6)*(1+H$33)</f>
        <v>47.020050000000005</v>
      </c>
      <c r="I6" s="21">
        <f t="shared" si="2"/>
        <v>53.602857000000014</v>
      </c>
      <c r="J6" s="21">
        <f t="shared" si="2"/>
        <v>58.96314270000002</v>
      </c>
    </row>
    <row r="7" spans="1:10" ht="14.65" thickTop="1" x14ac:dyDescent="0.45">
      <c r="B7" s="5" t="s">
        <v>5</v>
      </c>
      <c r="C7" s="14">
        <f xml:space="preserve"> SUM(C5, C6)</f>
        <v>3590.44</v>
      </c>
      <c r="D7" s="14">
        <f t="shared" ref="D7:F7" si="3" xml:space="preserve"> SUM(D5, D6)</f>
        <v>5864.1600000000008</v>
      </c>
      <c r="E7" s="14">
        <f t="shared" si="3"/>
        <v>10197.720000000001</v>
      </c>
      <c r="F7" s="14">
        <f t="shared" si="3"/>
        <v>15091.53</v>
      </c>
      <c r="G7" s="14">
        <f>SUM(G5:G6)</f>
        <v>18405.215099999998</v>
      </c>
      <c r="H7" s="14">
        <f t="shared" ref="H7:J7" si="4">SUM(H5:H6)</f>
        <v>21718.153817999995</v>
      </c>
      <c r="I7" s="14">
        <f t="shared" si="4"/>
        <v>24758.695352520001</v>
      </c>
      <c r="J7" s="14">
        <f t="shared" si="4"/>
        <v>27234.564887772001</v>
      </c>
    </row>
    <row r="8" spans="1:10" x14ac:dyDescent="0.45">
      <c r="B8" s="18"/>
      <c r="C8" s="19"/>
      <c r="D8" s="19"/>
      <c r="E8" s="19"/>
      <c r="F8" s="19"/>
    </row>
    <row r="9" spans="1:10" x14ac:dyDescent="0.45">
      <c r="B9" s="4" t="s">
        <v>6</v>
      </c>
    </row>
    <row r="10" spans="1:10" x14ac:dyDescent="0.45">
      <c r="B10" s="24" t="s">
        <v>20</v>
      </c>
      <c r="C10" s="15">
        <v>2662.97</v>
      </c>
      <c r="D10" s="15">
        <v>3767.73</v>
      </c>
      <c r="E10" s="15">
        <v>6986.89</v>
      </c>
      <c r="F10" s="15">
        <v>10590.21</v>
      </c>
      <c r="G10" s="28">
        <f>(G7*G$39)*($F$10/($F$10+$F$11))</f>
        <v>12920.429534216164</v>
      </c>
      <c r="H10" s="28">
        <f t="shared" ref="H10:J10" si="5">(H7*H$39)*($F$10/($F$10+$F$11))</f>
        <v>15246.106850375074</v>
      </c>
      <c r="I10" s="28">
        <f t="shared" si="5"/>
        <v>17380.561809427589</v>
      </c>
      <c r="J10" s="28">
        <f t="shared" si="5"/>
        <v>19118.617990370349</v>
      </c>
    </row>
    <row r="11" spans="1:10" x14ac:dyDescent="0.45">
      <c r="B11" s="24" t="s">
        <v>21</v>
      </c>
      <c r="C11" s="6">
        <v>77.53</v>
      </c>
      <c r="D11" s="6">
        <v>-32.090000000000003</v>
      </c>
      <c r="E11" s="6">
        <v>-269.17</v>
      </c>
      <c r="F11" s="6">
        <v>-482.72</v>
      </c>
      <c r="G11" s="28">
        <f>(G7*G$39)*($F$11/($F$10+$F$11))</f>
        <v>-588.93541721616737</v>
      </c>
      <c r="H11" s="28">
        <f t="shared" ref="H11:J11" si="6">(H7*H$39)*($F$11/($F$10+$F$11))</f>
        <v>-694.94379231507742</v>
      </c>
      <c r="I11" s="28">
        <f t="shared" si="6"/>
        <v>-792.23592323918854</v>
      </c>
      <c r="J11" s="28">
        <f t="shared" si="6"/>
        <v>-871.45951556310729</v>
      </c>
    </row>
    <row r="12" spans="1:10" x14ac:dyDescent="0.45">
      <c r="B12" s="24" t="s">
        <v>22</v>
      </c>
      <c r="C12" s="7">
        <v>252.51</v>
      </c>
      <c r="D12" s="7">
        <v>585.75</v>
      </c>
      <c r="E12" s="7">
        <v>791.75</v>
      </c>
      <c r="F12" s="7">
        <v>767.95</v>
      </c>
      <c r="G12" s="28">
        <f>G7*G40</f>
        <v>1472.4172079999998</v>
      </c>
      <c r="H12" s="28">
        <f t="shared" ref="H12:J12" si="7">H7*H40</f>
        <v>1737.4523054399997</v>
      </c>
      <c r="I12" s="28">
        <f t="shared" si="7"/>
        <v>1980.6956282016001</v>
      </c>
      <c r="J12" s="28">
        <f t="shared" si="7"/>
        <v>2178.7651910217601</v>
      </c>
    </row>
    <row r="13" spans="1:10" x14ac:dyDescent="0.45">
      <c r="B13" s="24" t="s">
        <v>27</v>
      </c>
      <c r="C13" s="7">
        <v>0</v>
      </c>
      <c r="D13" s="7">
        <v>8.2799999999999994</v>
      </c>
      <c r="E13" s="7">
        <v>15.4</v>
      </c>
      <c r="F13" s="7">
        <v>54.38</v>
      </c>
      <c r="G13" s="28">
        <f>G7*G41</f>
        <v>46.013037749999995</v>
      </c>
      <c r="H13" s="28">
        <f t="shared" ref="H13:J13" si="8">H7*H41</f>
        <v>54.29538454499999</v>
      </c>
      <c r="I13" s="28">
        <f t="shared" si="8"/>
        <v>61.896738381300004</v>
      </c>
      <c r="J13" s="28">
        <f t="shared" si="8"/>
        <v>68.086412219430002</v>
      </c>
    </row>
    <row r="14" spans="1:10" ht="14.65" thickBot="1" x14ac:dyDescent="0.5">
      <c r="B14" s="24" t="s">
        <v>23</v>
      </c>
      <c r="C14" s="7">
        <v>537.37</v>
      </c>
      <c r="D14" s="7">
        <v>623.58000000000004</v>
      </c>
      <c r="E14" s="15">
        <v>1008.59</v>
      </c>
      <c r="F14" s="15">
        <v>1339.9</v>
      </c>
      <c r="G14" s="28">
        <f>G7*G42</f>
        <v>1564.4432835</v>
      </c>
      <c r="H14" s="28">
        <f t="shared" ref="H14:J14" si="9">H7*H42</f>
        <v>1846.0430745299998</v>
      </c>
      <c r="I14" s="28">
        <f t="shared" si="9"/>
        <v>2104.4891049642001</v>
      </c>
      <c r="J14" s="28">
        <f t="shared" si="9"/>
        <v>2314.9380154606201</v>
      </c>
    </row>
    <row r="15" spans="1:10" ht="14.65" thickTop="1" x14ac:dyDescent="0.45">
      <c r="B15" s="5" t="s">
        <v>7</v>
      </c>
      <c r="C15" s="14">
        <f>SUM(C10:C14)</f>
        <v>3530.38</v>
      </c>
      <c r="D15" s="14">
        <f t="shared" ref="D15:F15" si="10">SUM(D10:D14)</f>
        <v>4953.2499999999991</v>
      </c>
      <c r="E15" s="14">
        <f t="shared" si="10"/>
        <v>8533.4599999999991</v>
      </c>
      <c r="F15" s="14">
        <f t="shared" si="10"/>
        <v>12269.72</v>
      </c>
      <c r="G15" s="14">
        <f t="shared" ref="G15" si="11">SUM(G10:G14)</f>
        <v>15414.367646249999</v>
      </c>
      <c r="H15" s="14">
        <f t="shared" ref="H15" si="12">SUM(H10:H14)</f>
        <v>18188.953822574993</v>
      </c>
      <c r="I15" s="14">
        <f t="shared" ref="I15" si="13">SUM(I10:I14)</f>
        <v>20735.407357735497</v>
      </c>
      <c r="J15" s="14">
        <f t="shared" ref="J15" si="14">SUM(J10:J14)</f>
        <v>22808.948093509051</v>
      </c>
    </row>
    <row r="17" spans="2:10" x14ac:dyDescent="0.45">
      <c r="B17" s="3" t="s">
        <v>8</v>
      </c>
      <c r="C17" s="17">
        <f>C7-(C10+C11)</f>
        <v>849.94</v>
      </c>
      <c r="D17" s="17">
        <f t="shared" ref="D17:J17" si="15">D7-(D10+D11)</f>
        <v>2128.5200000000009</v>
      </c>
      <c r="E17" s="17">
        <f t="shared" si="15"/>
        <v>3480.0000000000009</v>
      </c>
      <c r="F17" s="17">
        <f t="shared" si="15"/>
        <v>4984.0400000000009</v>
      </c>
      <c r="G17" s="17">
        <f t="shared" si="15"/>
        <v>6073.7209830000011</v>
      </c>
      <c r="H17" s="17">
        <f t="shared" si="15"/>
        <v>7166.9907599399994</v>
      </c>
      <c r="I17" s="17">
        <f t="shared" si="15"/>
        <v>8170.3694663316019</v>
      </c>
      <c r="J17" s="17">
        <f t="shared" si="15"/>
        <v>8987.4064129647595</v>
      </c>
    </row>
    <row r="18" spans="2:10" ht="14.65" thickBot="1" x14ac:dyDescent="0.5">
      <c r="B18" s="3" t="s">
        <v>9</v>
      </c>
      <c r="C18" s="3">
        <f>SUM(C12, C14)</f>
        <v>789.88</v>
      </c>
      <c r="D18" s="3">
        <f>SUM(D12, D14)</f>
        <v>1209.33</v>
      </c>
      <c r="E18" s="3">
        <f>SUM(E12, E14)</f>
        <v>1800.3400000000001</v>
      </c>
      <c r="F18" s="29">
        <f>SUM(F12, F14)</f>
        <v>2107.8500000000004</v>
      </c>
      <c r="G18" s="29">
        <f t="shared" ref="G18:J18" si="16">SUM(G12, G14)</f>
        <v>3036.8604914999996</v>
      </c>
      <c r="H18" s="29">
        <f t="shared" si="16"/>
        <v>3583.4953799699997</v>
      </c>
      <c r="I18" s="29">
        <f t="shared" si="16"/>
        <v>4085.1847331658</v>
      </c>
      <c r="J18" s="29">
        <f t="shared" si="16"/>
        <v>4493.7032064823798</v>
      </c>
    </row>
    <row r="19" spans="2:10" ht="14.65" thickTop="1" x14ac:dyDescent="0.45">
      <c r="B19" s="5" t="s">
        <v>10</v>
      </c>
      <c r="C19" s="5">
        <f>C17-C18</f>
        <v>60.060000000000059</v>
      </c>
      <c r="D19" s="5">
        <f>D17-D18</f>
        <v>919.19000000000096</v>
      </c>
      <c r="E19" s="5">
        <f>E17-E18</f>
        <v>1679.6600000000008</v>
      </c>
      <c r="F19" s="5">
        <f>F17-F18</f>
        <v>2876.1900000000005</v>
      </c>
      <c r="G19" s="30">
        <f t="shared" ref="G19:J19" si="17">G17-G18</f>
        <v>3036.8604915000014</v>
      </c>
      <c r="H19" s="30">
        <f t="shared" si="17"/>
        <v>3583.4953799699997</v>
      </c>
      <c r="I19" s="30">
        <f t="shared" si="17"/>
        <v>4085.1847331658018</v>
      </c>
      <c r="J19" s="30">
        <f t="shared" si="17"/>
        <v>4493.7032064823798</v>
      </c>
    </row>
    <row r="20" spans="2:10" ht="14.65" thickBot="1" x14ac:dyDescent="0.5">
      <c r="B20" s="24" t="s">
        <v>24</v>
      </c>
      <c r="C20" s="7">
        <v>190.04</v>
      </c>
      <c r="D20" s="7">
        <v>141.53</v>
      </c>
      <c r="E20" s="7">
        <v>166.85</v>
      </c>
      <c r="F20" s="7">
        <v>189.65</v>
      </c>
      <c r="G20" s="36">
        <f>'Depreciation and Capex'!G6</f>
        <v>285.28083404999995</v>
      </c>
      <c r="H20" s="36">
        <f>'Depreciation and Capex'!H6</f>
        <v>336.63138417899995</v>
      </c>
      <c r="I20" s="36">
        <f>'Depreciation and Capex'!I6</f>
        <v>383.75977796405999</v>
      </c>
      <c r="J20" s="36">
        <f>'Depreciation and Capex'!J6</f>
        <v>422.135755760466</v>
      </c>
    </row>
    <row r="21" spans="2:10" ht="14.65" thickTop="1" x14ac:dyDescent="0.45">
      <c r="B21" s="5" t="s">
        <v>11</v>
      </c>
      <c r="C21" s="5">
        <f>C19-C20</f>
        <v>-129.97999999999993</v>
      </c>
      <c r="D21" s="5">
        <f>D19-D20</f>
        <v>777.66000000000099</v>
      </c>
      <c r="E21" s="5">
        <f>E19-E20</f>
        <v>1512.8100000000009</v>
      </c>
      <c r="F21" s="30">
        <f>F19-F20</f>
        <v>2686.5400000000004</v>
      </c>
      <c r="G21" s="30">
        <f t="shared" ref="G21:J21" si="18">G19-G20</f>
        <v>2751.5796574500014</v>
      </c>
      <c r="H21" s="30">
        <f t="shared" si="18"/>
        <v>3246.863995791</v>
      </c>
      <c r="I21" s="30">
        <f t="shared" si="18"/>
        <v>3701.4249552017418</v>
      </c>
      <c r="J21" s="30">
        <f t="shared" si="18"/>
        <v>4071.5674507219137</v>
      </c>
    </row>
    <row r="22" spans="2:10" x14ac:dyDescent="0.45">
      <c r="B22" s="24" t="s">
        <v>4</v>
      </c>
      <c r="C22" s="7">
        <v>192.22</v>
      </c>
      <c r="D22" s="7">
        <v>47.37</v>
      </c>
      <c r="E22" s="7">
        <v>102.31</v>
      </c>
      <c r="F22" s="7">
        <v>154.13</v>
      </c>
      <c r="G22" s="28">
        <f>F22*1.07</f>
        <v>164.91910000000001</v>
      </c>
      <c r="H22" s="28">
        <f t="shared" ref="H22:J22" si="19">G22*1.07</f>
        <v>176.46343700000003</v>
      </c>
      <c r="I22" s="28">
        <f t="shared" si="19"/>
        <v>188.81587759000004</v>
      </c>
      <c r="J22" s="28">
        <f t="shared" si="19"/>
        <v>202.03298902130007</v>
      </c>
    </row>
    <row r="23" spans="2:10" x14ac:dyDescent="0.45">
      <c r="B23" s="24" t="s">
        <v>26</v>
      </c>
      <c r="C23" s="15">
        <v>2542.08</v>
      </c>
      <c r="D23" s="7">
        <v>50.85</v>
      </c>
      <c r="E23" s="7">
        <v>102.86</v>
      </c>
      <c r="F23" s="15">
        <v>1178.4000000000001</v>
      </c>
      <c r="G23" s="32">
        <f>G7*G47</f>
        <v>920.2607549999999</v>
      </c>
      <c r="H23" s="32">
        <f t="shared" ref="H23:J23" si="20">H7*H47</f>
        <v>1085.9076908999998</v>
      </c>
      <c r="I23" s="32">
        <f t="shared" si="20"/>
        <v>1237.9347676260002</v>
      </c>
      <c r="J23" s="32">
        <f t="shared" si="20"/>
        <v>1361.7282443886002</v>
      </c>
    </row>
    <row r="24" spans="2:10" ht="14.65" thickBot="1" x14ac:dyDescent="0.5">
      <c r="B24" s="24" t="s">
        <v>25</v>
      </c>
      <c r="C24" s="7">
        <v>417.74</v>
      </c>
      <c r="D24" s="7">
        <v>228.86</v>
      </c>
      <c r="E24" s="7">
        <v>144.43</v>
      </c>
      <c r="F24" s="7">
        <v>441.56</v>
      </c>
      <c r="G24" s="7">
        <v>500</v>
      </c>
      <c r="H24" s="7">
        <v>500</v>
      </c>
      <c r="I24" s="7">
        <v>500</v>
      </c>
      <c r="J24" s="7">
        <v>500</v>
      </c>
    </row>
    <row r="25" spans="2:10" ht="14.65" thickTop="1" x14ac:dyDescent="0.45">
      <c r="B25" s="5" t="s">
        <v>16</v>
      </c>
      <c r="C25" s="5">
        <f t="shared" ref="C25:E25" si="21">SUM(C21:C23)-C24</f>
        <v>2186.58</v>
      </c>
      <c r="D25" s="5">
        <f t="shared" si="21"/>
        <v>647.020000000001</v>
      </c>
      <c r="E25" s="5">
        <f t="shared" si="21"/>
        <v>1573.5500000000006</v>
      </c>
      <c r="F25" s="30">
        <f>SUM(F21:F23)-F24</f>
        <v>3577.5100000000007</v>
      </c>
      <c r="G25" s="30">
        <f t="shared" ref="G25:J25" si="22">SUM(G21:G23)-G24</f>
        <v>3336.7595124500012</v>
      </c>
      <c r="H25" s="30">
        <f t="shared" si="22"/>
        <v>4009.2351236909999</v>
      </c>
      <c r="I25" s="30">
        <f t="shared" si="22"/>
        <v>4628.1756004177423</v>
      </c>
      <c r="J25" s="30">
        <f t="shared" si="22"/>
        <v>5135.3286841318131</v>
      </c>
    </row>
    <row r="26" spans="2:10" x14ac:dyDescent="0.45">
      <c r="B26" s="24" t="s">
        <v>28</v>
      </c>
      <c r="C26" s="6">
        <v>0</v>
      </c>
      <c r="D26" s="6">
        <v>0</v>
      </c>
      <c r="E26" s="6">
        <v>7.05</v>
      </c>
      <c r="F26" s="6">
        <v>0</v>
      </c>
      <c r="G26" s="31">
        <v>0</v>
      </c>
      <c r="H26" s="31">
        <v>0</v>
      </c>
      <c r="I26" s="31">
        <v>0</v>
      </c>
      <c r="J26" s="31">
        <v>0</v>
      </c>
    </row>
    <row r="27" spans="2:10" ht="14.65" thickBot="1" x14ac:dyDescent="0.5">
      <c r="B27" s="24" t="s">
        <v>29</v>
      </c>
      <c r="C27" s="7">
        <v>0</v>
      </c>
      <c r="D27" s="7">
        <v>0</v>
      </c>
      <c r="E27" s="7">
        <v>-645.1</v>
      </c>
      <c r="F27" s="7">
        <v>-564.05999999999995</v>
      </c>
      <c r="G27" s="7">
        <v>-500</v>
      </c>
      <c r="H27" s="7">
        <v>-500</v>
      </c>
      <c r="I27" s="7">
        <v>-500</v>
      </c>
      <c r="J27" s="7">
        <v>-500</v>
      </c>
    </row>
    <row r="28" spans="2:10" ht="14.65" thickTop="1" x14ac:dyDescent="0.45">
      <c r="B28" s="5" t="s">
        <v>80</v>
      </c>
      <c r="C28" s="5">
        <f>C25-C26-C27</f>
        <v>2186.58</v>
      </c>
      <c r="D28" s="5">
        <f t="shared" ref="D28:F28" si="23">D25-D26-D27</f>
        <v>647.020000000001</v>
      </c>
      <c r="E28" s="5">
        <f t="shared" si="23"/>
        <v>2211.6000000000008</v>
      </c>
      <c r="F28" s="30">
        <f t="shared" si="23"/>
        <v>4141.5700000000006</v>
      </c>
      <c r="G28" s="30">
        <f t="shared" ref="G28" si="24">G25-G26-G27</f>
        <v>3836.7595124500012</v>
      </c>
      <c r="H28" s="30">
        <f t="shared" ref="H28" si="25">H25-H26-H27</f>
        <v>4509.2351236909999</v>
      </c>
      <c r="I28" s="30">
        <f t="shared" ref="I28" si="26">I25-I26-I27</f>
        <v>5128.1756004177423</v>
      </c>
      <c r="J28" s="30">
        <f t="shared" ref="J28" si="27">J25-J26-J27</f>
        <v>5635.3286841318131</v>
      </c>
    </row>
    <row r="31" spans="2:10" x14ac:dyDescent="0.45">
      <c r="B31" s="23" t="s">
        <v>81</v>
      </c>
      <c r="C31" s="22"/>
    </row>
    <row r="32" spans="2:10" x14ac:dyDescent="0.45">
      <c r="B32" s="4" t="s">
        <v>3</v>
      </c>
    </row>
    <row r="33" spans="2:10" x14ac:dyDescent="0.45">
      <c r="B33" s="24" t="s">
        <v>17</v>
      </c>
      <c r="D33" s="9">
        <f>(D5/C5)-1</f>
        <v>0.64898788629053694</v>
      </c>
      <c r="E33" s="9">
        <f t="shared" ref="E33:F33" si="28">(E5/D5)-1</f>
        <v>0.74168502061069352</v>
      </c>
      <c r="F33" s="9">
        <f t="shared" si="28"/>
        <v>0.48141828058573455</v>
      </c>
      <c r="G33" s="25">
        <v>0.22</v>
      </c>
      <c r="H33" s="25">
        <v>0.18</v>
      </c>
      <c r="I33" s="25">
        <v>0.14000000000000001</v>
      </c>
      <c r="J33" s="25">
        <v>0.1</v>
      </c>
    </row>
    <row r="34" spans="2:10" ht="14.65" thickBot="1" x14ac:dyDescent="0.5">
      <c r="B34" s="24" t="s">
        <v>18</v>
      </c>
      <c r="D34" s="9">
        <f>(D6/C6)-1</f>
        <v>-0.43001912045889101</v>
      </c>
      <c r="E34" s="9">
        <f t="shared" ref="E34:F34" si="29">(E6/D6)-1</f>
        <v>0.21167393492116737</v>
      </c>
      <c r="F34" s="9">
        <f t="shared" si="29"/>
        <v>5.0664451827242774E-2</v>
      </c>
      <c r="G34" s="25">
        <v>0.05</v>
      </c>
      <c r="H34" s="25">
        <v>0.05</v>
      </c>
      <c r="I34" s="25">
        <v>0.05</v>
      </c>
      <c r="J34" s="25">
        <v>0.05</v>
      </c>
    </row>
    <row r="35" spans="2:10" ht="14.65" thickTop="1" x14ac:dyDescent="0.45">
      <c r="B35" s="5" t="s">
        <v>5</v>
      </c>
      <c r="D35" s="9">
        <f>(D7/C7)-1</f>
        <v>0.63327057408005727</v>
      </c>
      <c r="E35" s="9">
        <f t="shared" ref="E35:J35" si="30">(E7/D7)-1</f>
        <v>0.73899075059343544</v>
      </c>
      <c r="F35" s="9">
        <f t="shared" si="30"/>
        <v>0.47989256422023741</v>
      </c>
      <c r="G35" s="9">
        <f t="shared" si="30"/>
        <v>0.21957250855281063</v>
      </c>
      <c r="H35" s="9">
        <f t="shared" si="30"/>
        <v>0.17999999999999994</v>
      </c>
      <c r="I35" s="9">
        <f t="shared" si="30"/>
        <v>0.14000000000000035</v>
      </c>
      <c r="J35" s="9">
        <f t="shared" si="30"/>
        <v>0.10000000000000009</v>
      </c>
    </row>
    <row r="38" spans="2:10" x14ac:dyDescent="0.45">
      <c r="B38" s="4" t="s">
        <v>6</v>
      </c>
    </row>
    <row r="39" spans="2:10" x14ac:dyDescent="0.45">
      <c r="B39" s="24" t="s">
        <v>82</v>
      </c>
      <c r="C39" s="26">
        <f>(C10+C11)/C7</f>
        <v>0.76327692427669036</v>
      </c>
      <c r="D39" s="26">
        <f t="shared" ref="D39:F39" si="31">(D10+D11)/D7</f>
        <v>0.63702900330141055</v>
      </c>
      <c r="E39" s="26">
        <f t="shared" si="31"/>
        <v>0.65874724938515661</v>
      </c>
      <c r="F39" s="26">
        <f t="shared" si="31"/>
        <v>0.6697458773232402</v>
      </c>
      <c r="G39" s="25">
        <v>0.67</v>
      </c>
      <c r="H39" s="25">
        <v>0.67</v>
      </c>
      <c r="I39" s="25">
        <v>0.67</v>
      </c>
      <c r="J39" s="25">
        <v>0.67</v>
      </c>
    </row>
    <row r="40" spans="2:10" x14ac:dyDescent="0.45">
      <c r="B40" s="24" t="s">
        <v>22</v>
      </c>
      <c r="C40" s="26">
        <f>C12/C7</f>
        <v>7.0328427713594988E-2</v>
      </c>
      <c r="D40" s="26">
        <f t="shared" ref="D40:F40" si="32">D12/D7</f>
        <v>9.9886428746828182E-2</v>
      </c>
      <c r="E40" s="26">
        <f t="shared" si="32"/>
        <v>7.7639903821638559E-2</v>
      </c>
      <c r="F40" s="26">
        <f t="shared" si="32"/>
        <v>5.0886159322480889E-2</v>
      </c>
      <c r="G40" s="25">
        <v>0.08</v>
      </c>
      <c r="H40" s="25">
        <v>0.08</v>
      </c>
      <c r="I40" s="25">
        <v>0.08</v>
      </c>
      <c r="J40" s="25">
        <v>0.08</v>
      </c>
    </row>
    <row r="41" spans="2:10" x14ac:dyDescent="0.45">
      <c r="B41" s="24" t="s">
        <v>27</v>
      </c>
      <c r="C41" s="26">
        <f>C13/C7</f>
        <v>0</v>
      </c>
      <c r="D41" s="26">
        <f t="shared" ref="D41:F41" si="33">D13/D7</f>
        <v>1.4119669313252022E-3</v>
      </c>
      <c r="E41" s="26">
        <f t="shared" si="33"/>
        <v>1.5101414826059157E-3</v>
      </c>
      <c r="F41" s="26">
        <f t="shared" si="33"/>
        <v>3.6033457177635404E-3</v>
      </c>
      <c r="G41" s="27">
        <v>2.5000000000000001E-3</v>
      </c>
      <c r="H41" s="27">
        <v>2.5000000000000001E-3</v>
      </c>
      <c r="I41" s="27">
        <v>2.5000000000000001E-3</v>
      </c>
      <c r="J41" s="27">
        <v>2.5000000000000001E-3</v>
      </c>
    </row>
    <row r="42" spans="2:10" ht="14.65" thickBot="1" x14ac:dyDescent="0.5">
      <c r="B42" s="24" t="s">
        <v>23</v>
      </c>
      <c r="C42" s="26">
        <f>C14/C7</f>
        <v>0.14966689319414891</v>
      </c>
      <c r="D42" s="26">
        <f t="shared" ref="D42:F42" si="34">D14/D7</f>
        <v>0.10633748055987557</v>
      </c>
      <c r="E42" s="26">
        <f t="shared" si="34"/>
        <v>9.8903480385811718E-2</v>
      </c>
      <c r="F42" s="26">
        <f t="shared" si="34"/>
        <v>8.8784901199547031E-2</v>
      </c>
      <c r="G42" s="27">
        <v>8.5000000000000006E-2</v>
      </c>
      <c r="H42" s="27">
        <v>8.5000000000000006E-2</v>
      </c>
      <c r="I42" s="27">
        <v>8.5000000000000006E-2</v>
      </c>
      <c r="J42" s="27">
        <v>8.5000000000000006E-2</v>
      </c>
    </row>
    <row r="43" spans="2:10" ht="14.65" thickTop="1" x14ac:dyDescent="0.45">
      <c r="B43" s="5" t="s">
        <v>7</v>
      </c>
    </row>
    <row r="45" spans="2:10" x14ac:dyDescent="0.45">
      <c r="B45" s="24" t="s">
        <v>24</v>
      </c>
      <c r="D45" s="26">
        <f>(D20/C20)-1</f>
        <v>-0.25526205009471692</v>
      </c>
      <c r="E45" s="26">
        <f t="shared" ref="E45:F45" si="35">(E20/D20)-1</f>
        <v>0.17890199957606145</v>
      </c>
      <c r="F45" s="26">
        <f t="shared" si="35"/>
        <v>0.13664968534611943</v>
      </c>
      <c r="G45" s="25">
        <v>0.1</v>
      </c>
      <c r="H45" s="25">
        <v>0.1</v>
      </c>
      <c r="I45" s="25">
        <v>0.1</v>
      </c>
      <c r="J45" s="25">
        <v>0.1</v>
      </c>
    </row>
    <row r="47" spans="2:10" x14ac:dyDescent="0.45">
      <c r="B47" s="24" t="s">
        <v>26</v>
      </c>
      <c r="C47" s="26">
        <f>C23/C7</f>
        <v>0.70801350252336759</v>
      </c>
      <c r="D47" s="26">
        <f t="shared" ref="D47:F47" si="36">D23/D7</f>
        <v>8.6713186543341241E-3</v>
      </c>
      <c r="E47" s="26">
        <f t="shared" si="36"/>
        <v>1.0086568370184706E-2</v>
      </c>
      <c r="F47" s="26">
        <f t="shared" si="36"/>
        <v>7.8083534273860902E-2</v>
      </c>
      <c r="G47" s="25">
        <v>0.05</v>
      </c>
      <c r="H47" s="25">
        <v>0.05</v>
      </c>
      <c r="I47" s="25">
        <v>0.05</v>
      </c>
      <c r="J47" s="25">
        <v>0.05</v>
      </c>
    </row>
    <row r="61" spans="2:6" x14ac:dyDescent="0.45">
      <c r="B61" t="s">
        <v>8</v>
      </c>
      <c r="C61" s="8">
        <f>C17/C7</f>
        <v>0.23672307572330969</v>
      </c>
      <c r="D61" s="8">
        <f t="shared" ref="D61:F61" si="37">D17/D7</f>
        <v>0.36297099669858951</v>
      </c>
      <c r="E61" s="8">
        <f t="shared" si="37"/>
        <v>0.34125275061484339</v>
      </c>
      <c r="F61" s="8">
        <f t="shared" si="37"/>
        <v>0.3302541226767598</v>
      </c>
    </row>
    <row r="62" spans="2:6" x14ac:dyDescent="0.45">
      <c r="B62" t="s">
        <v>12</v>
      </c>
      <c r="C62" s="9">
        <f>C19/C7</f>
        <v>1.6727754815565796E-2</v>
      </c>
      <c r="D62" s="9">
        <f t="shared" ref="D62:F62" si="38">D19/D7</f>
        <v>0.15674708739188578</v>
      </c>
      <c r="E62" s="9">
        <f t="shared" si="38"/>
        <v>0.16470936640739309</v>
      </c>
      <c r="F62" s="9">
        <f t="shared" si="38"/>
        <v>0.19058306215473186</v>
      </c>
    </row>
    <row r="63" spans="2:6" x14ac:dyDescent="0.45">
      <c r="B63" t="s">
        <v>13</v>
      </c>
      <c r="C63" s="9">
        <f>C21/C7</f>
        <v>-3.6201691157629688E-2</v>
      </c>
      <c r="D63" s="9">
        <f t="shared" ref="D63:F63" si="39">D21/D7</f>
        <v>0.13261234345584039</v>
      </c>
      <c r="E63" s="9">
        <f t="shared" si="39"/>
        <v>0.14834786599357511</v>
      </c>
      <c r="F63" s="9">
        <f t="shared" si="39"/>
        <v>0.17801641052961498</v>
      </c>
    </row>
    <row r="64" spans="2:6" x14ac:dyDescent="0.45">
      <c r="B64" t="s">
        <v>14</v>
      </c>
      <c r="C64" s="9">
        <f>C25/C7</f>
        <v>0.6090005681754882</v>
      </c>
      <c r="D64" s="9">
        <f t="shared" ref="D64:F64" si="40">D25/D7</f>
        <v>0.11033464298382052</v>
      </c>
      <c r="E64" s="9">
        <f t="shared" si="40"/>
        <v>0.15430409934769737</v>
      </c>
      <c r="F64" s="9">
        <f t="shared" si="40"/>
        <v>0.23705416216911079</v>
      </c>
    </row>
    <row r="65" spans="2:6" x14ac:dyDescent="0.45">
      <c r="B65" t="s">
        <v>15</v>
      </c>
      <c r="C65" s="9">
        <f>C28/C7</f>
        <v>0.6090005681754882</v>
      </c>
      <c r="D65" s="9">
        <f t="shared" ref="D65:F65" si="41">D28/D7</f>
        <v>0.11033464298382052</v>
      </c>
      <c r="E65" s="9">
        <f t="shared" si="41"/>
        <v>0.21687200668384704</v>
      </c>
      <c r="F65" s="9">
        <f t="shared" si="41"/>
        <v>0.27443009423166509</v>
      </c>
    </row>
  </sheetData>
  <mergeCells count="4">
    <mergeCell ref="A2:B2"/>
    <mergeCell ref="A1:B1"/>
    <mergeCell ref="C1:E1"/>
    <mergeCell ref="F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8D6C-7DB2-45AB-BF76-82B0DC080A1C}">
  <dimension ref="A1:J72"/>
  <sheetViews>
    <sheetView zoomScale="103" zoomScaleNormal="103" workbookViewId="0">
      <selection activeCell="C58" sqref="C58"/>
    </sheetView>
  </sheetViews>
  <sheetFormatPr defaultRowHeight="14.25" x14ac:dyDescent="0.45"/>
  <cols>
    <col min="1" max="1" width="5.19921875" customWidth="1"/>
    <col min="2" max="2" width="48.59765625" customWidth="1"/>
  </cols>
  <sheetData>
    <row r="1" spans="1:10" ht="28.9" customHeight="1" thickBot="1" x14ac:dyDescent="0.5">
      <c r="A1" s="11" t="s">
        <v>0</v>
      </c>
      <c r="B1" s="11"/>
      <c r="C1" s="12" t="s">
        <v>1</v>
      </c>
      <c r="D1" s="12"/>
      <c r="E1" s="12"/>
      <c r="F1" s="12" t="s">
        <v>2</v>
      </c>
      <c r="G1" s="12"/>
      <c r="H1" s="12"/>
      <c r="I1" s="12"/>
      <c r="J1" s="12"/>
    </row>
    <row r="2" spans="1:10" x14ac:dyDescent="0.45">
      <c r="A2" s="10" t="s">
        <v>19</v>
      </c>
      <c r="B2" s="10"/>
      <c r="C2" s="2">
        <v>45016</v>
      </c>
      <c r="D2" s="2">
        <f t="shared" ref="D2:J2" si="0">DATE(YEAR(C2)+1,MONTH(C2),DAY(C2))</f>
        <v>45382</v>
      </c>
      <c r="E2" s="2">
        <f t="shared" si="0"/>
        <v>45747</v>
      </c>
      <c r="F2" s="2">
        <f>DATE(YEAR(E2)+1,MONTH(E2),DAY(E2))</f>
        <v>46112</v>
      </c>
      <c r="G2" s="1">
        <f t="shared" si="0"/>
        <v>46477</v>
      </c>
      <c r="H2" s="1">
        <f t="shared" si="0"/>
        <v>46843</v>
      </c>
      <c r="I2" s="1">
        <f t="shared" si="0"/>
        <v>47208</v>
      </c>
      <c r="J2" s="1">
        <f t="shared" si="0"/>
        <v>47573</v>
      </c>
    </row>
    <row r="4" spans="1:10" x14ac:dyDescent="0.45">
      <c r="B4" s="16" t="s">
        <v>30</v>
      </c>
    </row>
    <row r="5" spans="1:10" x14ac:dyDescent="0.45">
      <c r="B5" s="3" t="s">
        <v>46</v>
      </c>
    </row>
    <row r="6" spans="1:10" x14ac:dyDescent="0.45">
      <c r="B6" t="s">
        <v>32</v>
      </c>
      <c r="C6" s="7">
        <v>425.07</v>
      </c>
      <c r="D6" s="7">
        <v>554.87</v>
      </c>
      <c r="E6" s="7">
        <v>579.30999999999995</v>
      </c>
      <c r="F6" s="7">
        <v>758.81</v>
      </c>
      <c r="G6" s="36">
        <f>'Depreciation and Capex'!G12</f>
        <v>1117.7116944499999</v>
      </c>
      <c r="H6" s="36">
        <f>'Depreciation and Capex'!H12</f>
        <v>1541.2156939009999</v>
      </c>
      <c r="I6" s="36">
        <f>'Depreciation and Capex'!I12</f>
        <v>2024.0102532751398</v>
      </c>
      <c r="J6" s="36">
        <f>'Depreciation and Capex'!J12</f>
        <v>2555.0842685866937</v>
      </c>
    </row>
    <row r="7" spans="1:10" x14ac:dyDescent="0.45">
      <c r="B7" t="s">
        <v>33</v>
      </c>
      <c r="C7" s="7">
        <v>9.19</v>
      </c>
      <c r="D7" s="7">
        <v>35.619999999999997</v>
      </c>
      <c r="E7" s="7">
        <v>36.06</v>
      </c>
      <c r="F7" s="7">
        <v>293.95999999999998</v>
      </c>
    </row>
    <row r="8" spans="1:10" x14ac:dyDescent="0.45">
      <c r="B8" t="s">
        <v>34</v>
      </c>
      <c r="C8" s="7">
        <v>0.87</v>
      </c>
      <c r="D8" s="7">
        <v>4.28</v>
      </c>
      <c r="E8" s="7">
        <v>59.59</v>
      </c>
      <c r="F8" s="7">
        <v>137.88</v>
      </c>
    </row>
    <row r="9" spans="1:10" x14ac:dyDescent="0.45">
      <c r="B9" t="s">
        <v>35</v>
      </c>
      <c r="C9" s="7">
        <v>29.21</v>
      </c>
      <c r="D9" s="7">
        <v>27.01</v>
      </c>
      <c r="E9" s="7">
        <v>25.75</v>
      </c>
      <c r="F9" s="7">
        <v>24.19</v>
      </c>
    </row>
    <row r="10" spans="1:10" x14ac:dyDescent="0.45">
      <c r="B10" t="s">
        <v>36</v>
      </c>
      <c r="C10" s="7">
        <v>0</v>
      </c>
      <c r="D10" s="7">
        <v>0</v>
      </c>
      <c r="E10" s="7">
        <v>0</v>
      </c>
      <c r="F10" s="7">
        <v>0</v>
      </c>
    </row>
    <row r="11" spans="1:10" x14ac:dyDescent="0.45">
      <c r="B11" t="s">
        <v>37</v>
      </c>
      <c r="C11" s="7">
        <v>62.9</v>
      </c>
      <c r="D11" s="7">
        <v>55.35</v>
      </c>
      <c r="E11" s="7">
        <v>91.35</v>
      </c>
      <c r="F11" s="7">
        <v>155.33000000000001</v>
      </c>
    </row>
    <row r="12" spans="1:10" x14ac:dyDescent="0.45">
      <c r="B12" t="s">
        <v>38</v>
      </c>
      <c r="C12" s="7">
        <v>3.43</v>
      </c>
      <c r="D12" s="7">
        <v>3.51</v>
      </c>
      <c r="E12" s="7">
        <v>16.350000000000001</v>
      </c>
      <c r="F12" s="7">
        <v>13.57</v>
      </c>
    </row>
    <row r="13" spans="1:10" x14ac:dyDescent="0.45">
      <c r="B13" t="s">
        <v>39</v>
      </c>
      <c r="C13" s="7">
        <v>1753.9</v>
      </c>
      <c r="D13" s="7">
        <v>370.25</v>
      </c>
      <c r="E13" s="7">
        <v>1277.7</v>
      </c>
      <c r="F13" s="7">
        <v>2123.2800000000002</v>
      </c>
    </row>
    <row r="14" spans="1:10" x14ac:dyDescent="0.45">
      <c r="B14" t="s">
        <v>40</v>
      </c>
      <c r="C14" s="7">
        <v>0</v>
      </c>
      <c r="D14" s="7">
        <v>0</v>
      </c>
      <c r="E14" s="7">
        <v>0</v>
      </c>
      <c r="F14" s="7">
        <v>217.31</v>
      </c>
    </row>
    <row r="15" spans="1:10" x14ac:dyDescent="0.45">
      <c r="B15" t="s">
        <v>41</v>
      </c>
      <c r="C15" s="7">
        <v>1244.42</v>
      </c>
      <c r="D15" s="7">
        <v>95.07</v>
      </c>
      <c r="E15" s="7">
        <v>139.06</v>
      </c>
      <c r="F15" s="7">
        <v>525.64</v>
      </c>
    </row>
    <row r="16" spans="1:10" x14ac:dyDescent="0.45">
      <c r="B16" t="s">
        <v>42</v>
      </c>
      <c r="C16" s="7">
        <v>383.39</v>
      </c>
      <c r="D16" s="7">
        <v>871.82</v>
      </c>
      <c r="E16" s="7">
        <v>1062.67</v>
      </c>
      <c r="F16" s="7">
        <v>1179.9000000000001</v>
      </c>
    </row>
    <row r="17" spans="2:6" x14ac:dyDescent="0.45">
      <c r="B17" t="s">
        <v>43</v>
      </c>
      <c r="C17" s="7">
        <v>0</v>
      </c>
      <c r="D17" s="7">
        <v>0</v>
      </c>
      <c r="E17" s="7">
        <v>638.04999999999995</v>
      </c>
      <c r="F17" s="7">
        <v>1202.1099999999999</v>
      </c>
    </row>
    <row r="18" spans="2:6" ht="14.65" thickBot="1" x14ac:dyDescent="0.5">
      <c r="B18" t="s">
        <v>44</v>
      </c>
      <c r="C18" s="7">
        <v>71.31</v>
      </c>
      <c r="D18" s="7">
        <v>72.61</v>
      </c>
      <c r="E18" s="7">
        <v>62.54</v>
      </c>
      <c r="F18" s="7">
        <v>30.2</v>
      </c>
    </row>
    <row r="19" spans="2:6" ht="14.65" thickTop="1" x14ac:dyDescent="0.45">
      <c r="B19" s="5" t="s">
        <v>47</v>
      </c>
      <c r="C19" s="5">
        <f>SUM(C6:C18)</f>
        <v>3983.69</v>
      </c>
      <c r="D19" s="5">
        <f t="shared" ref="D19:F19" si="1">SUM(D6:D18)</f>
        <v>2090.39</v>
      </c>
      <c r="E19" s="5">
        <f t="shared" si="1"/>
        <v>3988.4300000000003</v>
      </c>
      <c r="F19" s="5">
        <f t="shared" si="1"/>
        <v>6662.18</v>
      </c>
    </row>
    <row r="21" spans="2:6" x14ac:dyDescent="0.45">
      <c r="B21" s="3" t="s">
        <v>31</v>
      </c>
    </row>
    <row r="22" spans="2:6" x14ac:dyDescent="0.45">
      <c r="B22" t="s">
        <v>48</v>
      </c>
      <c r="C22" s="7">
        <v>760.42</v>
      </c>
      <c r="D22" s="7">
        <v>2053.52</v>
      </c>
      <c r="E22" s="7">
        <v>2857.11</v>
      </c>
      <c r="F22" s="7">
        <v>3557.49</v>
      </c>
    </row>
    <row r="23" spans="2:6" x14ac:dyDescent="0.45">
      <c r="B23" t="s">
        <v>39</v>
      </c>
      <c r="C23" s="7">
        <v>1753.9</v>
      </c>
      <c r="D23" s="7">
        <v>8.35</v>
      </c>
      <c r="E23" s="7">
        <v>0</v>
      </c>
      <c r="F23" s="7">
        <v>213.89</v>
      </c>
    </row>
    <row r="24" spans="2:6" x14ac:dyDescent="0.45">
      <c r="B24" t="s">
        <v>40</v>
      </c>
      <c r="C24" s="7">
        <v>546.32000000000005</v>
      </c>
      <c r="D24" s="7">
        <v>1658.56</v>
      </c>
      <c r="E24" s="7">
        <v>3682.9</v>
      </c>
      <c r="F24" s="7">
        <v>5741.95</v>
      </c>
    </row>
    <row r="25" spans="2:6" x14ac:dyDescent="0.45">
      <c r="B25" t="s">
        <v>49</v>
      </c>
      <c r="C25" s="7">
        <v>290.63</v>
      </c>
      <c r="D25" s="7">
        <v>184.89</v>
      </c>
      <c r="E25" s="7">
        <v>808.02</v>
      </c>
      <c r="F25" s="7">
        <v>297.67</v>
      </c>
    </row>
    <row r="26" spans="2:6" x14ac:dyDescent="0.45">
      <c r="B26" t="s">
        <v>50</v>
      </c>
      <c r="C26" s="7">
        <v>0</v>
      </c>
      <c r="D26" s="7">
        <v>177.27</v>
      </c>
      <c r="E26" s="7">
        <v>188.78</v>
      </c>
      <c r="F26" s="7">
        <v>575.27</v>
      </c>
    </row>
    <row r="27" spans="2:6" x14ac:dyDescent="0.45">
      <c r="B27" t="s">
        <v>41</v>
      </c>
      <c r="C27" s="7">
        <v>1244.42</v>
      </c>
      <c r="D27" s="7">
        <v>0.26</v>
      </c>
      <c r="E27" s="7">
        <v>0.27</v>
      </c>
      <c r="F27" s="7">
        <v>133.07</v>
      </c>
    </row>
    <row r="28" spans="2:6" x14ac:dyDescent="0.45">
      <c r="B28" t="s">
        <v>42</v>
      </c>
      <c r="C28" s="7">
        <v>383.39</v>
      </c>
      <c r="D28" s="7">
        <v>153.66999999999999</v>
      </c>
      <c r="E28" s="7">
        <v>185.63</v>
      </c>
      <c r="F28" s="7">
        <v>201.99</v>
      </c>
    </row>
    <row r="29" spans="2:6" x14ac:dyDescent="0.45">
      <c r="B29" t="s">
        <v>51</v>
      </c>
      <c r="C29" s="7">
        <v>0</v>
      </c>
      <c r="D29" s="7">
        <v>0</v>
      </c>
      <c r="E29" s="7">
        <v>49.68</v>
      </c>
      <c r="F29" s="7">
        <v>99.49</v>
      </c>
    </row>
    <row r="30" spans="2:6" ht="14.65" thickBot="1" x14ac:dyDescent="0.5">
      <c r="B30" t="s">
        <v>52</v>
      </c>
      <c r="C30" s="7">
        <v>363.01</v>
      </c>
      <c r="D30" s="7">
        <v>430.14</v>
      </c>
      <c r="E30" s="7">
        <v>583.64</v>
      </c>
      <c r="F30" s="7">
        <v>601.78</v>
      </c>
    </row>
    <row r="31" spans="2:6" ht="14.65" thickTop="1" x14ac:dyDescent="0.45">
      <c r="B31" s="5" t="s">
        <v>45</v>
      </c>
      <c r="C31" s="5">
        <f>SUM(C22:C30)</f>
        <v>5342.0900000000011</v>
      </c>
      <c r="D31" s="5">
        <f t="shared" ref="D31:F31" si="2">SUM(D22:D30)</f>
        <v>4666.66</v>
      </c>
      <c r="E31" s="5">
        <f t="shared" si="2"/>
        <v>8356.0300000000007</v>
      </c>
      <c r="F31" s="5">
        <f t="shared" si="2"/>
        <v>11422.6</v>
      </c>
    </row>
    <row r="32" spans="2:6" ht="14.65" thickBot="1" x14ac:dyDescent="0.5"/>
    <row r="33" spans="2:6" ht="15" thickTop="1" thickBot="1" x14ac:dyDescent="0.5">
      <c r="B33" s="20" t="s">
        <v>53</v>
      </c>
      <c r="C33" s="20">
        <f>SUM(C19, C31)</f>
        <v>9325.7800000000007</v>
      </c>
      <c r="D33" s="20">
        <f t="shared" ref="D33:F33" si="3">SUM(D19, D31)</f>
        <v>6757.0499999999993</v>
      </c>
      <c r="E33" s="20">
        <f t="shared" si="3"/>
        <v>12344.460000000001</v>
      </c>
      <c r="F33" s="20">
        <f t="shared" si="3"/>
        <v>18084.78</v>
      </c>
    </row>
    <row r="34" spans="2:6" ht="14.65" thickTop="1" x14ac:dyDescent="0.45"/>
    <row r="35" spans="2:6" x14ac:dyDescent="0.45">
      <c r="B35" s="16" t="s">
        <v>54</v>
      </c>
    </row>
    <row r="36" spans="2:6" x14ac:dyDescent="0.45">
      <c r="B36" t="s">
        <v>55</v>
      </c>
      <c r="C36" s="7">
        <v>2454.4</v>
      </c>
      <c r="D36" s="7">
        <v>2721.72</v>
      </c>
      <c r="E36" s="7">
        <v>2731.79</v>
      </c>
      <c r="F36" s="7">
        <v>2744.99</v>
      </c>
    </row>
    <row r="37" spans="2:6" ht="14.65" thickBot="1" x14ac:dyDescent="0.5">
      <c r="B37" t="s">
        <v>56</v>
      </c>
      <c r="C37" s="7">
        <v>-1035.01</v>
      </c>
      <c r="D37" s="7">
        <v>559.47</v>
      </c>
      <c r="E37" s="7">
        <v>2797.21</v>
      </c>
      <c r="F37" s="7">
        <v>7082.76</v>
      </c>
    </row>
    <row r="38" spans="2:6" ht="14.65" thickTop="1" x14ac:dyDescent="0.45">
      <c r="B38" s="5" t="s">
        <v>57</v>
      </c>
      <c r="C38" s="5">
        <f>SUM(C36:C37)</f>
        <v>1419.39</v>
      </c>
      <c r="D38" s="5">
        <f t="shared" ref="D38:F38" si="4">SUM(D36:D37)</f>
        <v>3281.1899999999996</v>
      </c>
      <c r="E38" s="5">
        <f t="shared" si="4"/>
        <v>5529</v>
      </c>
      <c r="F38" s="5">
        <f t="shared" si="4"/>
        <v>9827.75</v>
      </c>
    </row>
    <row r="40" spans="2:6" x14ac:dyDescent="0.45">
      <c r="B40" s="3" t="s">
        <v>63</v>
      </c>
    </row>
    <row r="41" spans="2:6" x14ac:dyDescent="0.45">
      <c r="B41" t="s">
        <v>58</v>
      </c>
      <c r="C41" s="7">
        <v>2008.98</v>
      </c>
      <c r="D41" s="7">
        <v>0</v>
      </c>
      <c r="E41" s="7">
        <v>0</v>
      </c>
      <c r="F41" s="7">
        <v>0</v>
      </c>
    </row>
    <row r="42" spans="2:6" x14ac:dyDescent="0.45">
      <c r="B42" t="s">
        <v>59</v>
      </c>
      <c r="C42" s="7">
        <v>4.99</v>
      </c>
      <c r="D42" s="7">
        <v>14.5</v>
      </c>
      <c r="E42" s="7">
        <v>22.97</v>
      </c>
      <c r="F42" s="7">
        <v>261.11</v>
      </c>
    </row>
    <row r="43" spans="2:6" x14ac:dyDescent="0.45">
      <c r="B43" t="s">
        <v>60</v>
      </c>
      <c r="C43" s="7">
        <v>3.39</v>
      </c>
      <c r="D43" s="7">
        <v>4.58</v>
      </c>
      <c r="E43" s="7">
        <v>617.94000000000005</v>
      </c>
      <c r="F43" s="7">
        <v>628.89</v>
      </c>
    </row>
    <row r="44" spans="2:6" x14ac:dyDescent="0.45">
      <c r="B44" t="s">
        <v>61</v>
      </c>
      <c r="C44" s="7">
        <v>144.83000000000001</v>
      </c>
      <c r="D44" s="7">
        <v>163.41</v>
      </c>
      <c r="E44" s="7">
        <v>147.96</v>
      </c>
      <c r="F44" s="7">
        <v>207.51</v>
      </c>
    </row>
    <row r="45" spans="2:6" ht="14.65" thickBot="1" x14ac:dyDescent="0.5">
      <c r="B45" t="s">
        <v>62</v>
      </c>
      <c r="C45" s="7">
        <v>0.48</v>
      </c>
      <c r="D45" s="7">
        <v>0.48</v>
      </c>
      <c r="E45" s="7">
        <v>0.45</v>
      </c>
      <c r="F45" s="7">
        <v>0.09</v>
      </c>
    </row>
    <row r="46" spans="2:6" ht="14.65" thickTop="1" x14ac:dyDescent="0.45">
      <c r="B46" s="5" t="s">
        <v>64</v>
      </c>
      <c r="C46" s="5">
        <f>SUM(C41:C45)</f>
        <v>2162.67</v>
      </c>
      <c r="D46" s="5">
        <f t="shared" ref="D46:F46" si="5">SUM(D41:D45)</f>
        <v>182.97</v>
      </c>
      <c r="E46" s="5">
        <f t="shared" si="5"/>
        <v>789.32000000000016</v>
      </c>
      <c r="F46" s="5">
        <f t="shared" si="5"/>
        <v>1097.5999999999999</v>
      </c>
    </row>
    <row r="48" spans="2:6" x14ac:dyDescent="0.45">
      <c r="B48" s="3" t="s">
        <v>65</v>
      </c>
    </row>
    <row r="49" spans="2:6" x14ac:dyDescent="0.45">
      <c r="B49" t="s">
        <v>58</v>
      </c>
      <c r="C49" s="7">
        <v>323.02</v>
      </c>
      <c r="D49" s="7">
        <v>0</v>
      </c>
      <c r="E49" s="7">
        <v>0</v>
      </c>
      <c r="F49" s="7">
        <v>0</v>
      </c>
    </row>
    <row r="50" spans="2:6" x14ac:dyDescent="0.45">
      <c r="B50" t="s">
        <v>59</v>
      </c>
      <c r="C50" s="7">
        <v>5.21</v>
      </c>
      <c r="D50" s="7">
        <v>23.16</v>
      </c>
      <c r="E50" s="7">
        <v>12.57</v>
      </c>
      <c r="F50" s="7">
        <v>27.66</v>
      </c>
    </row>
    <row r="51" spans="2:6" x14ac:dyDescent="0.45">
      <c r="B51" t="s">
        <v>66</v>
      </c>
      <c r="C51" s="7">
        <v>2.7</v>
      </c>
      <c r="D51" s="7">
        <v>33.92</v>
      </c>
      <c r="E51" s="7">
        <v>61.86</v>
      </c>
      <c r="F51" s="7">
        <v>124.48</v>
      </c>
    </row>
    <row r="52" spans="2:6" x14ac:dyDescent="0.45">
      <c r="B52" t="s">
        <v>67</v>
      </c>
      <c r="C52" s="7">
        <v>1059.3900000000001</v>
      </c>
      <c r="D52" s="7">
        <v>2148.06</v>
      </c>
      <c r="E52" s="7">
        <v>3271.34</v>
      </c>
      <c r="F52" s="7">
        <v>4385.84</v>
      </c>
    </row>
    <row r="53" spans="2:6" x14ac:dyDescent="0.45">
      <c r="B53" t="s">
        <v>60</v>
      </c>
      <c r="C53" s="7">
        <v>220.99</v>
      </c>
      <c r="D53" s="7">
        <v>211.45</v>
      </c>
      <c r="E53" s="7">
        <v>369.37</v>
      </c>
      <c r="F53" s="7">
        <v>112.58</v>
      </c>
    </row>
    <row r="54" spans="2:6" x14ac:dyDescent="0.45">
      <c r="B54" t="s">
        <v>68</v>
      </c>
      <c r="C54" s="7">
        <v>386.66</v>
      </c>
      <c r="D54" s="7">
        <v>280.48</v>
      </c>
      <c r="E54" s="7">
        <v>1680.03</v>
      </c>
      <c r="F54" s="7">
        <v>1777.39</v>
      </c>
    </row>
    <row r="55" spans="2:6" x14ac:dyDescent="0.45">
      <c r="B55" t="s">
        <v>61</v>
      </c>
      <c r="C55" s="7">
        <v>16.760000000000002</v>
      </c>
      <c r="D55" s="7">
        <v>548.52</v>
      </c>
      <c r="E55" s="7">
        <v>550.20000000000005</v>
      </c>
      <c r="F55" s="7">
        <v>683.76</v>
      </c>
    </row>
    <row r="56" spans="2:6" x14ac:dyDescent="0.45">
      <c r="B56" t="s">
        <v>69</v>
      </c>
      <c r="C56" s="7">
        <v>451.2</v>
      </c>
      <c r="D56" s="7">
        <v>47.3</v>
      </c>
      <c r="E56" s="7">
        <v>73.72</v>
      </c>
      <c r="F56" s="7">
        <v>47.72</v>
      </c>
    </row>
    <row r="57" spans="2:6" ht="14.65" thickBot="1" x14ac:dyDescent="0.5">
      <c r="B57" t="s">
        <v>70</v>
      </c>
      <c r="C57" s="7">
        <v>0</v>
      </c>
      <c r="D57" s="7">
        <v>0</v>
      </c>
      <c r="E57" s="7">
        <v>7.05</v>
      </c>
      <c r="F57" s="7">
        <v>0</v>
      </c>
    </row>
    <row r="58" spans="2:6" ht="14.65" thickTop="1" x14ac:dyDescent="0.45">
      <c r="B58" s="5" t="s">
        <v>71</v>
      </c>
      <c r="C58" s="5">
        <f>SUM(C49:C57)</f>
        <v>2465.9300000000003</v>
      </c>
      <c r="D58" s="5">
        <f t="shared" ref="D58:F58" si="6">SUM(D49:D57)</f>
        <v>3292.89</v>
      </c>
      <c r="E58" s="5">
        <f t="shared" si="6"/>
        <v>6026.14</v>
      </c>
      <c r="F58" s="5">
        <f t="shared" si="6"/>
        <v>7159.4300000000012</v>
      </c>
    </row>
    <row r="59" spans="2:6" ht="14.65" thickBot="1" x14ac:dyDescent="0.5"/>
    <row r="60" spans="2:6" ht="15" thickTop="1" thickBot="1" x14ac:dyDescent="0.5">
      <c r="B60" s="20" t="s">
        <v>72</v>
      </c>
      <c r="C60" s="20">
        <f>SUM(C38,C46,C58)</f>
        <v>6047.9900000000007</v>
      </c>
      <c r="D60" s="20">
        <f t="shared" ref="D60:F60" si="7">SUM(D38,D46,D58)</f>
        <v>6757.0499999999993</v>
      </c>
      <c r="E60" s="20">
        <f t="shared" si="7"/>
        <v>12344.46</v>
      </c>
      <c r="F60" s="20">
        <f t="shared" si="7"/>
        <v>18084.780000000002</v>
      </c>
    </row>
    <row r="61" spans="2:6" ht="14.65" thickTop="1" x14ac:dyDescent="0.45"/>
    <row r="64" spans="2:6" x14ac:dyDescent="0.45">
      <c r="B64" s="3" t="s">
        <v>73</v>
      </c>
    </row>
    <row r="65" spans="2:6" x14ac:dyDescent="0.45">
      <c r="B65" t="s">
        <v>74</v>
      </c>
      <c r="C65" s="21">
        <f>C31/C58</f>
        <v>2.1663591423925257</v>
      </c>
      <c r="D65" s="21">
        <f t="shared" ref="D65:F65" si="8">D31/D58</f>
        <v>1.4171928002453771</v>
      </c>
      <c r="E65" s="21">
        <f t="shared" si="8"/>
        <v>1.38663057944223</v>
      </c>
      <c r="F65" s="21">
        <f t="shared" si="8"/>
        <v>1.5954622085836441</v>
      </c>
    </row>
    <row r="66" spans="2:6" x14ac:dyDescent="0.45">
      <c r="B66" t="s">
        <v>75</v>
      </c>
      <c r="C66" s="21">
        <f>(C31-C22)/C58</f>
        <v>1.8579886695891612</v>
      </c>
      <c r="D66" s="21">
        <f t="shared" ref="D66:F66" si="9">(D31-D22)/D58</f>
        <v>0.79357038953624326</v>
      </c>
      <c r="E66" s="21">
        <f t="shared" si="9"/>
        <v>0.91251115971417851</v>
      </c>
      <c r="F66" s="21">
        <f t="shared" si="9"/>
        <v>1.0985665059927954</v>
      </c>
    </row>
    <row r="67" spans="2:6" x14ac:dyDescent="0.45">
      <c r="B67" t="s">
        <v>76</v>
      </c>
      <c r="C67" s="21">
        <f>C25/C58</f>
        <v>0.11785817115652106</v>
      </c>
      <c r="D67" s="21">
        <f t="shared" ref="D67:F67" si="10">D25/D58</f>
        <v>5.6148246676931204E-2</v>
      </c>
      <c r="E67" s="21">
        <f t="shared" si="10"/>
        <v>0.13408583272210733</v>
      </c>
      <c r="F67" s="21">
        <f t="shared" si="10"/>
        <v>4.1577332273658653E-2</v>
      </c>
    </row>
    <row r="69" spans="2:6" x14ac:dyDescent="0.45">
      <c r="B69" s="3" t="s">
        <v>77</v>
      </c>
    </row>
    <row r="70" spans="2:6" x14ac:dyDescent="0.45">
      <c r="B70" t="s">
        <v>78</v>
      </c>
      <c r="C70" s="21">
        <f>((C41+C49)+(C42+C50))/C38</f>
        <v>1.6501454850323023</v>
      </c>
      <c r="D70" s="21">
        <f t="shared" ref="D70:F70" si="11">((D41+D49)+(D42+D50))/D38</f>
        <v>1.1477543208409144E-2</v>
      </c>
      <c r="E70" s="21">
        <f t="shared" si="11"/>
        <v>6.4279254838126238E-3</v>
      </c>
      <c r="F70" s="21">
        <f t="shared" si="11"/>
        <v>2.9383124316349117E-2</v>
      </c>
    </row>
    <row r="72" spans="2:6" x14ac:dyDescent="0.45">
      <c r="B72" s="3" t="s">
        <v>79</v>
      </c>
      <c r="C72" s="9">
        <f>'Balance Sheet'!C28/'Balance Sheet'!C38</f>
        <v>0.27010899048182668</v>
      </c>
      <c r="D72" s="9">
        <f>'Balance Sheet'!D28/'Balance Sheet'!D38</f>
        <v>4.6833618290924937E-2</v>
      </c>
      <c r="E72" s="9">
        <f>'Balance Sheet'!E28/'Balance Sheet'!E38</f>
        <v>3.3573883161512025E-2</v>
      </c>
      <c r="F72" s="9">
        <f>'Balance Sheet'!F28/'Balance Sheet'!F38</f>
        <v>2.0553025870621456E-2</v>
      </c>
    </row>
  </sheetData>
  <mergeCells count="4">
    <mergeCell ref="A1:B1"/>
    <mergeCell ref="C1:E1"/>
    <mergeCell ref="F1:J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56B2-E836-4A5B-8CDD-193052AF67C6}">
  <dimension ref="A1:J13"/>
  <sheetViews>
    <sheetView tabSelected="1" workbookViewId="0">
      <selection activeCell="B12" sqref="B12"/>
    </sheetView>
  </sheetViews>
  <sheetFormatPr defaultRowHeight="14.25" x14ac:dyDescent="0.45"/>
  <cols>
    <col min="1" max="1" width="5.19921875" customWidth="1"/>
    <col min="2" max="2" width="48.59765625" customWidth="1"/>
    <col min="7" max="7" width="9.19921875" bestFit="1" customWidth="1"/>
  </cols>
  <sheetData>
    <row r="1" spans="1:10" ht="23.65" thickBot="1" x14ac:dyDescent="0.5">
      <c r="A1" s="11" t="s">
        <v>83</v>
      </c>
      <c r="B1" s="11"/>
      <c r="C1" s="12" t="s">
        <v>1</v>
      </c>
      <c r="D1" s="12"/>
      <c r="E1" s="12"/>
      <c r="F1" s="12" t="s">
        <v>2</v>
      </c>
      <c r="G1" s="12"/>
      <c r="H1" s="12"/>
      <c r="I1" s="12"/>
      <c r="J1" s="12"/>
    </row>
    <row r="2" spans="1:10" x14ac:dyDescent="0.45">
      <c r="A2" s="10" t="s">
        <v>84</v>
      </c>
      <c r="B2" s="10"/>
      <c r="C2" s="2">
        <v>45016</v>
      </c>
      <c r="D2" s="2">
        <f t="shared" ref="D2:J2" si="0">DATE(YEAR(C2)+1,MONTH(C2),DAY(C2))</f>
        <v>45382</v>
      </c>
      <c r="E2" s="2">
        <f t="shared" si="0"/>
        <v>45747</v>
      </c>
      <c r="F2" s="2">
        <f>DATE(YEAR(E2)+1,MONTH(E2),DAY(E2))</f>
        <v>46112</v>
      </c>
      <c r="G2" s="1">
        <f t="shared" si="0"/>
        <v>46477</v>
      </c>
      <c r="H2" s="1">
        <f t="shared" si="0"/>
        <v>46843</v>
      </c>
      <c r="I2" s="1">
        <f t="shared" si="0"/>
        <v>47208</v>
      </c>
      <c r="J2" s="1">
        <f t="shared" si="0"/>
        <v>47573</v>
      </c>
    </row>
    <row r="4" spans="1:10" x14ac:dyDescent="0.45">
      <c r="B4" t="s">
        <v>85</v>
      </c>
      <c r="C4" s="33">
        <f>'Income Statement'!C7</f>
        <v>3590.44</v>
      </c>
      <c r="D4" s="33">
        <f>'Income Statement'!D7</f>
        <v>5864.1600000000008</v>
      </c>
      <c r="E4" s="33">
        <f>'Income Statement'!E7</f>
        <v>10197.720000000001</v>
      </c>
      <c r="F4" s="33">
        <f>'Income Statement'!F7</f>
        <v>15091.53</v>
      </c>
      <c r="G4" s="33">
        <f>'Income Statement'!G7</f>
        <v>18405.215099999998</v>
      </c>
      <c r="H4" s="33">
        <f>'Income Statement'!H7</f>
        <v>21718.153817999995</v>
      </c>
      <c r="I4" s="33">
        <f>'Income Statement'!I7</f>
        <v>24758.695352520001</v>
      </c>
      <c r="J4" s="33">
        <f>'Income Statement'!J7</f>
        <v>27234.564887772001</v>
      </c>
    </row>
    <row r="6" spans="1:10" x14ac:dyDescent="0.45">
      <c r="B6" t="s">
        <v>24</v>
      </c>
      <c r="C6" s="34">
        <f>'Income Statement'!C20</f>
        <v>190.04</v>
      </c>
      <c r="D6" s="34">
        <f>'Income Statement'!D20</f>
        <v>141.53</v>
      </c>
      <c r="E6" s="34">
        <f>'Income Statement'!E20</f>
        <v>166.85</v>
      </c>
      <c r="F6" s="34">
        <f>'Income Statement'!F20</f>
        <v>189.65</v>
      </c>
      <c r="G6" s="28">
        <f>G4*G7</f>
        <v>285.28083404999995</v>
      </c>
      <c r="H6" s="28">
        <f t="shared" ref="H6:J6" si="1">H4*H7</f>
        <v>336.63138417899995</v>
      </c>
      <c r="I6" s="28">
        <f t="shared" si="1"/>
        <v>383.75977796405999</v>
      </c>
      <c r="J6" s="28">
        <f t="shared" si="1"/>
        <v>422.135755760466</v>
      </c>
    </row>
    <row r="7" spans="1:10" x14ac:dyDescent="0.45">
      <c r="B7" t="s">
        <v>86</v>
      </c>
      <c r="C7" s="26">
        <f>C6/C4</f>
        <v>5.2929445973195481E-2</v>
      </c>
      <c r="D7" s="26">
        <f t="shared" ref="D7:F7" si="2">D6/D4</f>
        <v>2.4134743936045398E-2</v>
      </c>
      <c r="E7" s="26">
        <f t="shared" si="2"/>
        <v>1.6361500413817988E-2</v>
      </c>
      <c r="F7" s="26">
        <f t="shared" si="2"/>
        <v>1.256665162511687E-2</v>
      </c>
      <c r="G7" s="27">
        <v>1.55E-2</v>
      </c>
      <c r="H7" s="27">
        <v>1.55E-2</v>
      </c>
      <c r="I7" s="27">
        <v>1.55E-2</v>
      </c>
      <c r="J7" s="27">
        <v>1.55E-2</v>
      </c>
    </row>
    <row r="9" spans="1:10" x14ac:dyDescent="0.45">
      <c r="B9" t="s">
        <v>87</v>
      </c>
      <c r="G9">
        <f>F12</f>
        <v>758.81</v>
      </c>
      <c r="H9">
        <f t="shared" ref="H9:J9" si="3">G12</f>
        <v>1117.7116944499999</v>
      </c>
      <c r="I9">
        <f t="shared" si="3"/>
        <v>1541.2156939009999</v>
      </c>
      <c r="J9">
        <f t="shared" si="3"/>
        <v>2024.0102532751398</v>
      </c>
    </row>
    <row r="10" spans="1:10" x14ac:dyDescent="0.45">
      <c r="B10" t="s">
        <v>88</v>
      </c>
      <c r="G10" s="32">
        <f>G4*0.035</f>
        <v>644.18252849999999</v>
      </c>
      <c r="H10" s="32">
        <f t="shared" ref="H10:J10" si="4">H4*0.035</f>
        <v>760.13538362999986</v>
      </c>
      <c r="I10" s="32">
        <f t="shared" si="4"/>
        <v>866.55433733820007</v>
      </c>
      <c r="J10" s="32">
        <f t="shared" si="4"/>
        <v>953.20977107202009</v>
      </c>
    </row>
    <row r="11" spans="1:10" ht="14.65" thickBot="1" x14ac:dyDescent="0.5">
      <c r="B11" t="s">
        <v>24</v>
      </c>
      <c r="G11" s="28">
        <f>G6</f>
        <v>285.28083404999995</v>
      </c>
      <c r="H11" s="28">
        <f t="shared" ref="H11:J11" si="5">H6</f>
        <v>336.63138417899995</v>
      </c>
      <c r="I11" s="28">
        <f t="shared" si="5"/>
        <v>383.75977796405999</v>
      </c>
      <c r="J11" s="28">
        <f t="shared" si="5"/>
        <v>422.135755760466</v>
      </c>
    </row>
    <row r="12" spans="1:10" ht="15" thickTop="1" thickBot="1" x14ac:dyDescent="0.5">
      <c r="B12" s="20" t="s">
        <v>89</v>
      </c>
      <c r="C12" s="20"/>
      <c r="D12" s="20"/>
      <c r="E12" s="20"/>
      <c r="F12" s="20">
        <f>'Balance Sheet'!F6</f>
        <v>758.81</v>
      </c>
      <c r="G12" s="35">
        <f>G9+G10-G11</f>
        <v>1117.7116944499999</v>
      </c>
      <c r="H12" s="35">
        <f t="shared" ref="H12:J12" si="6">H9+H10-H11</f>
        <v>1541.2156939009999</v>
      </c>
      <c r="I12" s="35">
        <f t="shared" si="6"/>
        <v>2024.0102532751398</v>
      </c>
      <c r="J12" s="35">
        <f t="shared" si="6"/>
        <v>2555.0842685866937</v>
      </c>
    </row>
    <row r="13" spans="1:10" ht="14.65" thickTop="1" x14ac:dyDescent="0.45"/>
  </sheetData>
  <mergeCells count="4">
    <mergeCell ref="A1:B1"/>
    <mergeCell ref="C1:E1"/>
    <mergeCell ref="F1:J1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8B7C-C4AD-4C43-A95F-1DB69754F6C9}">
  <dimension ref="A1:L21"/>
  <sheetViews>
    <sheetView workbookViewId="0">
      <selection activeCell="L11" sqref="L11"/>
    </sheetView>
  </sheetViews>
  <sheetFormatPr defaultRowHeight="14.25" x14ac:dyDescent="0.45"/>
  <cols>
    <col min="1" max="1" width="5.19921875" customWidth="1"/>
    <col min="2" max="2" width="48.59765625" customWidth="1"/>
  </cols>
  <sheetData>
    <row r="1" spans="1:12" ht="23.65" thickBot="1" x14ac:dyDescent="0.5">
      <c r="A1" s="11" t="s">
        <v>90</v>
      </c>
      <c r="B1" s="11"/>
      <c r="C1" s="12" t="s">
        <v>1</v>
      </c>
      <c r="D1" s="12"/>
      <c r="E1" s="12"/>
      <c r="F1" s="12" t="s">
        <v>2</v>
      </c>
      <c r="G1" s="12"/>
      <c r="H1" s="12"/>
      <c r="I1" s="12"/>
      <c r="J1" s="12"/>
    </row>
    <row r="2" spans="1:12" x14ac:dyDescent="0.45">
      <c r="A2" s="10" t="s">
        <v>84</v>
      </c>
      <c r="B2" s="10"/>
      <c r="C2" s="2">
        <v>45016</v>
      </c>
      <c r="D2" s="2">
        <f t="shared" ref="D2:J2" si="0">DATE(YEAR(C2)+1,MONTH(C2),DAY(C2))</f>
        <v>45382</v>
      </c>
      <c r="E2" s="2">
        <f t="shared" si="0"/>
        <v>45747</v>
      </c>
      <c r="F2" s="2">
        <f>DATE(YEAR(E2)+1,MONTH(E2),DAY(E2))</f>
        <v>46112</v>
      </c>
      <c r="G2" s="1">
        <f t="shared" si="0"/>
        <v>46477</v>
      </c>
      <c r="H2" s="1">
        <f t="shared" si="0"/>
        <v>46843</v>
      </c>
      <c r="I2" s="1">
        <f t="shared" si="0"/>
        <v>47208</v>
      </c>
      <c r="J2" s="1">
        <f t="shared" si="0"/>
        <v>47573</v>
      </c>
    </row>
    <row r="4" spans="1:12" x14ac:dyDescent="0.45">
      <c r="B4" s="3" t="s">
        <v>91</v>
      </c>
    </row>
    <row r="5" spans="1:12" x14ac:dyDescent="0.45">
      <c r="B5" t="s">
        <v>92</v>
      </c>
      <c r="C5" s="34">
        <f>'Balance Sheet'!C24</f>
        <v>546.32000000000005</v>
      </c>
      <c r="D5" s="34">
        <f>'Balance Sheet'!D24</f>
        <v>1658.56</v>
      </c>
      <c r="E5" s="34">
        <f>'Balance Sheet'!E24</f>
        <v>3682.9</v>
      </c>
      <c r="F5" s="34">
        <f>'Balance Sheet'!F24</f>
        <v>5741.95</v>
      </c>
      <c r="G5" s="28">
        <f>G9/G13</f>
        <v>6555.2820904109585</v>
      </c>
      <c r="H5" s="28">
        <f t="shared" ref="H5:J5" si="1">H9/H13</f>
        <v>7735.2328666849307</v>
      </c>
      <c r="I5" s="28">
        <f t="shared" si="1"/>
        <v>8818.165468020823</v>
      </c>
      <c r="J5" s="28">
        <f t="shared" si="1"/>
        <v>9699.9820148229046</v>
      </c>
    </row>
    <row r="6" spans="1:12" x14ac:dyDescent="0.45">
      <c r="B6" t="s">
        <v>48</v>
      </c>
      <c r="C6" s="34">
        <f>'Balance Sheet'!C22</f>
        <v>760.42</v>
      </c>
      <c r="D6" s="34">
        <f>'Balance Sheet'!D22</f>
        <v>2053.52</v>
      </c>
      <c r="E6" s="34">
        <f>'Balance Sheet'!E22</f>
        <v>2857.11</v>
      </c>
      <c r="F6" s="34">
        <f>'Balance Sheet'!F22</f>
        <v>3557.49</v>
      </c>
      <c r="G6" s="28">
        <f>G10/G14</f>
        <v>4645.4258659931502</v>
      </c>
      <c r="H6" s="28">
        <f t="shared" ref="H6:J6" si="2">H10/H14</f>
        <v>5481.6025218719151</v>
      </c>
      <c r="I6" s="28">
        <f t="shared" si="2"/>
        <v>6249.0268749339848</v>
      </c>
      <c r="J6" s="28">
        <f t="shared" si="2"/>
        <v>6873.9295624273846</v>
      </c>
    </row>
    <row r="7" spans="1:12" x14ac:dyDescent="0.45">
      <c r="B7" t="s">
        <v>93</v>
      </c>
      <c r="C7" s="34">
        <f>'Balance Sheet'!C51+'Balance Sheet'!C52</f>
        <v>1062.0900000000001</v>
      </c>
      <c r="D7" s="34">
        <f>'Balance Sheet'!D51+'Balance Sheet'!D52</f>
        <v>2181.98</v>
      </c>
      <c r="E7" s="34">
        <f>'Balance Sheet'!E51+'Balance Sheet'!E52</f>
        <v>3333.2000000000003</v>
      </c>
      <c r="F7" s="34">
        <f>'Balance Sheet'!F51+'Balance Sheet'!F52</f>
        <v>4510.32</v>
      </c>
      <c r="G7" s="28">
        <f>G10/G15</f>
        <v>5912.3601930821915</v>
      </c>
      <c r="H7" s="28">
        <f t="shared" ref="H7:J7" si="3">H10/H15</f>
        <v>6976.5850278369835</v>
      </c>
      <c r="I7" s="28">
        <f t="shared" si="3"/>
        <v>7953.3069317341633</v>
      </c>
      <c r="J7" s="28">
        <f t="shared" si="3"/>
        <v>8748.6376249075802</v>
      </c>
    </row>
    <row r="8" spans="1:12" x14ac:dyDescent="0.45">
      <c r="L8" t="s">
        <v>103</v>
      </c>
    </row>
    <row r="9" spans="1:12" x14ac:dyDescent="0.45">
      <c r="B9" s="3" t="s">
        <v>5</v>
      </c>
      <c r="C9" s="33">
        <f>'Income Statement'!C7</f>
        <v>3590.44</v>
      </c>
      <c r="D9" s="33">
        <f>'Income Statement'!D7</f>
        <v>5864.1600000000008</v>
      </c>
      <c r="E9" s="33">
        <f>'Income Statement'!E7</f>
        <v>10197.720000000001</v>
      </c>
      <c r="F9" s="33">
        <f>'Income Statement'!F7</f>
        <v>15091.53</v>
      </c>
      <c r="G9" s="33">
        <f>'Income Statement'!G7</f>
        <v>18405.215099999998</v>
      </c>
      <c r="H9" s="33">
        <f>'Income Statement'!H7</f>
        <v>21718.153817999995</v>
      </c>
      <c r="I9" s="33">
        <f>'Income Statement'!I7</f>
        <v>24758.695352520001</v>
      </c>
      <c r="J9" s="33">
        <f>'Income Statement'!J7</f>
        <v>27234.564887772001</v>
      </c>
      <c r="L9">
        <v>365</v>
      </c>
    </row>
    <row r="10" spans="1:12" x14ac:dyDescent="0.45">
      <c r="B10" s="3" t="s">
        <v>94</v>
      </c>
      <c r="C10" s="33">
        <f>'Income Statement'!C15</f>
        <v>3530.38</v>
      </c>
      <c r="D10" s="33">
        <f>'Income Statement'!D15</f>
        <v>4953.2499999999991</v>
      </c>
      <c r="E10" s="33">
        <f>'Income Statement'!E15</f>
        <v>8533.4599999999991</v>
      </c>
      <c r="F10" s="33">
        <f>'Income Statement'!F15</f>
        <v>12269.72</v>
      </c>
      <c r="G10" s="33">
        <f>'Income Statement'!G15</f>
        <v>15414.367646249999</v>
      </c>
      <c r="H10" s="33">
        <f>'Income Statement'!H15</f>
        <v>18188.953822574993</v>
      </c>
      <c r="I10" s="33">
        <f>'Income Statement'!I15</f>
        <v>20735.407357735497</v>
      </c>
      <c r="J10" s="33">
        <f>'Income Statement'!J15</f>
        <v>22808.948093509051</v>
      </c>
    </row>
    <row r="12" spans="1:12" x14ac:dyDescent="0.45">
      <c r="B12" s="3" t="s">
        <v>95</v>
      </c>
    </row>
    <row r="13" spans="1:12" x14ac:dyDescent="0.45">
      <c r="B13" t="s">
        <v>96</v>
      </c>
      <c r="C13" s="28">
        <f>C9/C5</f>
        <v>6.572045687509152</v>
      </c>
      <c r="D13" s="28">
        <f t="shared" ref="D13:F13" si="4">D9/D5</f>
        <v>3.5356936137372186</v>
      </c>
      <c r="E13" s="28">
        <f t="shared" si="4"/>
        <v>2.7689375220614192</v>
      </c>
      <c r="F13" s="28">
        <f t="shared" si="4"/>
        <v>2.6282935239770464</v>
      </c>
      <c r="G13" s="28">
        <f>$L$9/G17</f>
        <v>2.8076923076923075</v>
      </c>
      <c r="H13" s="28">
        <f>$L$9/H17</f>
        <v>2.8076923076923075</v>
      </c>
      <c r="I13" s="28">
        <f>$L$9/I17</f>
        <v>2.8076923076923075</v>
      </c>
      <c r="J13" s="28">
        <f>$L$9/J17</f>
        <v>2.8076923076923075</v>
      </c>
    </row>
    <row r="14" spans="1:12" x14ac:dyDescent="0.45">
      <c r="B14" t="s">
        <v>97</v>
      </c>
      <c r="C14" s="28">
        <f>C10/C6</f>
        <v>4.6426711554141136</v>
      </c>
      <c r="D14" s="28">
        <f t="shared" ref="D14:F14" si="5">D10/D6</f>
        <v>2.4120777981222483</v>
      </c>
      <c r="E14" s="28">
        <f t="shared" si="5"/>
        <v>2.9867453475714965</v>
      </c>
      <c r="F14" s="28">
        <f t="shared" si="5"/>
        <v>3.448982288073895</v>
      </c>
      <c r="G14" s="28">
        <f>$L$9/G18</f>
        <v>3.3181818181818183</v>
      </c>
      <c r="H14" s="28">
        <f>$L$9/H18</f>
        <v>3.3181818181818183</v>
      </c>
      <c r="I14" s="28">
        <f>$L$9/I18</f>
        <v>3.3181818181818183</v>
      </c>
      <c r="J14" s="28">
        <f>$L$9/J18</f>
        <v>3.3181818181818183</v>
      </c>
    </row>
    <row r="15" spans="1:12" x14ac:dyDescent="0.45">
      <c r="B15" t="s">
        <v>98</v>
      </c>
      <c r="C15" s="28">
        <f>C10/C7</f>
        <v>3.3239932585750731</v>
      </c>
      <c r="D15" s="28">
        <f t="shared" ref="D15:F15" si="6">D10/D7</f>
        <v>2.2700712197178703</v>
      </c>
      <c r="E15" s="28">
        <f t="shared" si="6"/>
        <v>2.5601404056162242</v>
      </c>
      <c r="F15" s="28">
        <f t="shared" si="6"/>
        <v>2.7203657390163003</v>
      </c>
      <c r="G15" s="28">
        <f>$L$9/G19</f>
        <v>2.6071428571428572</v>
      </c>
      <c r="H15" s="28">
        <f>$L$9/H19</f>
        <v>2.6071428571428572</v>
      </c>
      <c r="I15" s="28">
        <f>$L$9/I19</f>
        <v>2.6071428571428572</v>
      </c>
      <c r="J15" s="28">
        <f>$L$9/J19</f>
        <v>2.6071428571428572</v>
      </c>
    </row>
    <row r="17" spans="2:10" x14ac:dyDescent="0.45">
      <c r="B17" t="s">
        <v>99</v>
      </c>
      <c r="C17" s="28">
        <f>$L$9/C13</f>
        <v>55.538262719889488</v>
      </c>
      <c r="D17" s="28">
        <f>$L$9/D13</f>
        <v>103.23292679599463</v>
      </c>
      <c r="E17" s="28">
        <f>$L$9/E13</f>
        <v>131.81951455815613</v>
      </c>
      <c r="F17" s="28">
        <f>$L$9/F13</f>
        <v>138.87337798089391</v>
      </c>
      <c r="G17" s="7">
        <v>130</v>
      </c>
      <c r="H17" s="7">
        <v>130</v>
      </c>
      <c r="I17" s="7">
        <v>130</v>
      </c>
      <c r="J17" s="7">
        <v>130</v>
      </c>
    </row>
    <row r="18" spans="2:10" x14ac:dyDescent="0.45">
      <c r="B18" t="s">
        <v>100</v>
      </c>
      <c r="C18" s="28">
        <f>$L$9/C14</f>
        <v>78.618533982177553</v>
      </c>
      <c r="D18" s="28">
        <f>$L$9/D14</f>
        <v>151.32181900772221</v>
      </c>
      <c r="E18" s="28">
        <f>$L$9/E14</f>
        <v>122.20660201137642</v>
      </c>
      <c r="F18" s="28">
        <f>$L$9/F14</f>
        <v>105.8283196356559</v>
      </c>
      <c r="G18" s="7">
        <v>110</v>
      </c>
      <c r="H18" s="7">
        <v>110</v>
      </c>
      <c r="I18" s="7">
        <v>110</v>
      </c>
      <c r="J18" s="7">
        <v>110</v>
      </c>
    </row>
    <row r="19" spans="2:10" ht="14.65" thickBot="1" x14ac:dyDescent="0.5">
      <c r="B19" t="s">
        <v>101</v>
      </c>
      <c r="C19" s="28">
        <f>$L$9/C15</f>
        <v>109.80768359213458</v>
      </c>
      <c r="D19" s="28">
        <f>$L$9/D15</f>
        <v>160.78790692979362</v>
      </c>
      <c r="E19" s="28">
        <f>$L$9/E15</f>
        <v>142.57030559702631</v>
      </c>
      <c r="F19" s="28">
        <f>$L$9/F15</f>
        <v>134.17313516526866</v>
      </c>
      <c r="G19" s="7">
        <v>140</v>
      </c>
      <c r="H19" s="7">
        <v>140</v>
      </c>
      <c r="I19" s="7">
        <v>140</v>
      </c>
      <c r="J19" s="7">
        <v>140</v>
      </c>
    </row>
    <row r="20" spans="2:10" ht="15" thickTop="1" thickBot="1" x14ac:dyDescent="0.5">
      <c r="B20" s="20" t="s">
        <v>102</v>
      </c>
      <c r="C20" s="35">
        <f>C17+C18-C19</f>
        <v>24.349113109932446</v>
      </c>
      <c r="D20" s="35">
        <f t="shared" ref="D20:F20" si="7">D17+D18-D19</f>
        <v>93.766838873923234</v>
      </c>
      <c r="E20" s="35">
        <f t="shared" si="7"/>
        <v>111.45581097250624</v>
      </c>
      <c r="F20" s="35">
        <f t="shared" si="7"/>
        <v>110.52856245128115</v>
      </c>
      <c r="G20" s="35">
        <f t="shared" ref="G20" si="8">G17+G18-G19</f>
        <v>100</v>
      </c>
      <c r="H20" s="35">
        <f t="shared" ref="H20" si="9">H17+H18-H19</f>
        <v>100</v>
      </c>
      <c r="I20" s="35">
        <f t="shared" ref="I20" si="10">I17+I18-I19</f>
        <v>100</v>
      </c>
      <c r="J20" s="35">
        <f t="shared" ref="J20" si="11">J17+J18-J19</f>
        <v>100</v>
      </c>
    </row>
    <row r="21" spans="2:10" ht="14.65" thickTop="1" x14ac:dyDescent="0.45"/>
  </sheetData>
  <mergeCells count="4">
    <mergeCell ref="A1:B1"/>
    <mergeCell ref="C1:E1"/>
    <mergeCell ref="F1:J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Depreciation and Capex</vt:lpstr>
      <vt:lpstr>Working Capital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Maurya</dc:creator>
  <cp:lastModifiedBy>Rishav Maurya</cp:lastModifiedBy>
  <dcterms:created xsi:type="dcterms:W3CDTF">2026-10-11T16:40:23Z</dcterms:created>
  <dcterms:modified xsi:type="dcterms:W3CDTF">2026-10-12T20:31:04Z</dcterms:modified>
</cp:coreProperties>
</file>